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80" yWindow="435" windowWidth="12120" windowHeight="7350"/>
  </bookViews>
  <sheets>
    <sheet name="LEIA-ME" sheetId="1" r:id="rId1"/>
    <sheet name="Listas" sheetId="2" r:id="rId2"/>
    <sheet name="Base Administrativa" sheetId="3" r:id="rId3"/>
    <sheet name="Dashboard" sheetId="4" r:id="rId4"/>
    <sheet name="Power BI - Guia" sheetId="5" r:id="rId5"/>
    <sheet name="Portfólio" sheetId="6" r:id="rId6"/>
  </sheets>
  <calcPr calcId="124519"/>
</workbook>
</file>

<file path=xl/calcChain.xml><?xml version="1.0" encoding="utf-8"?>
<calcChain xmlns="http://schemas.openxmlformats.org/spreadsheetml/2006/main">
  <c r="B25" i="4"/>
  <c r="B24"/>
  <c r="B23"/>
  <c r="E20"/>
  <c r="E19"/>
  <c r="E18"/>
  <c r="B18"/>
  <c r="E17"/>
  <c r="B17"/>
  <c r="E16"/>
  <c r="B16"/>
  <c r="E15"/>
  <c r="B15"/>
  <c r="E14"/>
  <c r="B14"/>
  <c r="E13"/>
  <c r="B13"/>
  <c r="K8"/>
  <c r="K5"/>
  <c r="H5"/>
  <c r="E5"/>
  <c r="E8" s="1"/>
  <c r="B5"/>
  <c r="L63" i="3"/>
  <c r="K63"/>
  <c r="J63"/>
  <c r="L62"/>
  <c r="K62"/>
  <c r="J62"/>
  <c r="L61"/>
  <c r="K61"/>
  <c r="J61"/>
  <c r="L60"/>
  <c r="K60"/>
  <c r="J60"/>
  <c r="L59"/>
  <c r="K59"/>
  <c r="J59"/>
  <c r="L58"/>
  <c r="K58"/>
  <c r="J58"/>
  <c r="L57"/>
  <c r="K57"/>
  <c r="J57"/>
  <c r="L56"/>
  <c r="K56"/>
  <c r="J56"/>
  <c r="L55"/>
  <c r="K55"/>
  <c r="J55"/>
  <c r="L54"/>
  <c r="K54"/>
  <c r="J54"/>
  <c r="L53"/>
  <c r="K53"/>
  <c r="J53"/>
  <c r="L52"/>
  <c r="K52"/>
  <c r="J52"/>
  <c r="L51"/>
  <c r="K51"/>
  <c r="J51"/>
  <c r="L50"/>
  <c r="K50"/>
  <c r="J50"/>
  <c r="L49"/>
  <c r="K49"/>
  <c r="J49"/>
  <c r="L48"/>
  <c r="K48"/>
  <c r="J48"/>
  <c r="L47"/>
  <c r="K47"/>
  <c r="J47"/>
  <c r="L46"/>
  <c r="K46"/>
  <c r="J46"/>
  <c r="L45"/>
  <c r="K45"/>
  <c r="J45"/>
  <c r="L44"/>
  <c r="K44"/>
  <c r="J44"/>
  <c r="L43"/>
  <c r="K43"/>
  <c r="J43"/>
  <c r="L42"/>
  <c r="K42"/>
  <c r="J42"/>
  <c r="L41"/>
  <c r="K41"/>
  <c r="J41"/>
  <c r="L40"/>
  <c r="K40"/>
  <c r="J40"/>
  <c r="L39"/>
  <c r="K39"/>
  <c r="J39"/>
  <c r="L38"/>
  <c r="K38"/>
  <c r="J38"/>
  <c r="L37"/>
  <c r="K37"/>
  <c r="J37"/>
  <c r="L36"/>
  <c r="K36"/>
  <c r="J36"/>
  <c r="L35"/>
  <c r="K35"/>
  <c r="J35"/>
  <c r="L34"/>
  <c r="K34"/>
  <c r="J34"/>
  <c r="L33"/>
  <c r="K33"/>
  <c r="J33"/>
  <c r="L32"/>
  <c r="K32"/>
  <c r="J32"/>
  <c r="L31"/>
  <c r="K31"/>
  <c r="J31"/>
  <c r="L30"/>
  <c r="K30"/>
  <c r="J30"/>
  <c r="L29"/>
  <c r="K29"/>
  <c r="J29"/>
  <c r="L28"/>
  <c r="K28"/>
  <c r="J28"/>
  <c r="L27"/>
  <c r="K27"/>
  <c r="J27"/>
  <c r="L26"/>
  <c r="K26"/>
  <c r="J26"/>
  <c r="L25"/>
  <c r="K25"/>
  <c r="J25"/>
  <c r="L24"/>
  <c r="K24"/>
  <c r="J24"/>
  <c r="L23"/>
  <c r="K23"/>
  <c r="J23"/>
  <c r="L22"/>
  <c r="K22"/>
  <c r="J22"/>
  <c r="L21"/>
  <c r="K21"/>
  <c r="J21"/>
  <c r="L20"/>
  <c r="K20"/>
  <c r="J20"/>
  <c r="L19"/>
  <c r="K19"/>
  <c r="J19"/>
  <c r="L18"/>
  <c r="K18"/>
  <c r="J18"/>
  <c r="L17"/>
  <c r="K17"/>
  <c r="J17"/>
  <c r="L16"/>
  <c r="K16"/>
  <c r="J16"/>
  <c r="L15"/>
  <c r="K15"/>
  <c r="J15"/>
  <c r="L14"/>
  <c r="K14"/>
  <c r="J14"/>
  <c r="L13"/>
  <c r="K13"/>
  <c r="J13"/>
  <c r="L12"/>
  <c r="K12"/>
  <c r="J12"/>
  <c r="L11"/>
  <c r="K11"/>
  <c r="J11"/>
  <c r="L10"/>
  <c r="K10"/>
  <c r="J10"/>
  <c r="L9"/>
  <c r="K9"/>
  <c r="J9"/>
  <c r="L8"/>
  <c r="K8"/>
  <c r="J8"/>
  <c r="L7"/>
  <c r="K7"/>
  <c r="J7"/>
  <c r="L6"/>
  <c r="K6"/>
  <c r="J6"/>
  <c r="L5"/>
  <c r="K5"/>
  <c r="J5"/>
  <c r="L4"/>
  <c r="E27" i="4" s="1"/>
  <c r="K4" i="3"/>
  <c r="B8" i="4" s="1"/>
  <c r="J4" i="3"/>
  <c r="H8" i="4" s="1"/>
  <c r="E26" l="1"/>
  <c r="E28"/>
  <c r="E23"/>
  <c r="E24"/>
  <c r="E25"/>
</calcChain>
</file>

<file path=xl/sharedStrings.xml><?xml version="1.0" encoding="utf-8"?>
<sst xmlns="http://schemas.openxmlformats.org/spreadsheetml/2006/main" count="594" uniqueCount="208">
  <si>
    <t>Dashboard Administrativo | Projeto de Portfólio</t>
  </si>
  <si>
    <t>PROJETO SIMULADO PARA PORTFÓLIO — os dados abaixo são fictícios e servem para demonstrar competências em Excel e Power BI.</t>
  </si>
  <si>
    <t>Objetivo</t>
  </si>
  <si>
    <t>Criar um controle de solicitações administrativas e acompanhar volume, prazos, prioridades e desempenho por meio de indicadores.</t>
  </si>
  <si>
    <t>Ferramentas</t>
  </si>
  <si>
    <t>Excel + Power BI</t>
  </si>
  <si>
    <t>Base criada</t>
  </si>
  <si>
    <t>60 solicitações administrativas simuladas</t>
  </si>
  <si>
    <t>Período</t>
  </si>
  <si>
    <t>Janeiro a junho de 2026</t>
  </si>
  <si>
    <t>Indicadores</t>
  </si>
  <si>
    <t>Total, concluídas, em andamento, pendentes, atrasadas, taxa de conclusão e tempo médio de conclusão</t>
  </si>
  <si>
    <t>Análises</t>
  </si>
  <si>
    <t>Por setor, tipo de demanda, prioridade, status e mês</t>
  </si>
  <si>
    <t>Status do projeto</t>
  </si>
  <si>
    <t>Base e dashboard em Excel concluídos; arquivo preparado para importação no Power BI.</t>
  </si>
  <si>
    <t>Observação</t>
  </si>
  <si>
    <t>Não representa experiência profissional em uma empresa específica. É um projeto demonstrativo para portfólio.</t>
  </si>
  <si>
    <t>Setores</t>
  </si>
  <si>
    <t>Tipos de Demanda</t>
  </si>
  <si>
    <t>Responsáveis</t>
  </si>
  <si>
    <t>Prioridades</t>
  </si>
  <si>
    <t>Status</t>
  </si>
  <si>
    <t>Financeiro</t>
  </si>
  <si>
    <t>Compra de material</t>
  </si>
  <si>
    <t>Ana Lima</t>
  </si>
  <si>
    <t>Baixa</t>
  </si>
  <si>
    <t>Concluída</t>
  </si>
  <si>
    <t>RH</t>
  </si>
  <si>
    <t>Atualização cadastral</t>
  </si>
  <si>
    <t>Bruno Souza</t>
  </si>
  <si>
    <t>Média</t>
  </si>
  <si>
    <t>Em andamento</t>
  </si>
  <si>
    <t>Comercial</t>
  </si>
  <si>
    <t>Emissão de documento</t>
  </si>
  <si>
    <t>Carla Mendes</t>
  </si>
  <si>
    <t>Alta</t>
  </si>
  <si>
    <t>Pendente</t>
  </si>
  <si>
    <t>Operações</t>
  </si>
  <si>
    <t>Organização de arquivo</t>
  </si>
  <si>
    <t>Diego Alves</t>
  </si>
  <si>
    <t>TI</t>
  </si>
  <si>
    <t>Apoio a reunião</t>
  </si>
  <si>
    <t>Elisa Rocha</t>
  </si>
  <si>
    <t>Diretoria</t>
  </si>
  <si>
    <t>Cadastro em sistema</t>
  </si>
  <si>
    <t>Relatório administrativo</t>
  </si>
  <si>
    <t>Solicitação de pagamento</t>
  </si>
  <si>
    <t>Base de Solicitações Administrativas — 2026</t>
  </si>
  <si>
    <t>Data de referência</t>
  </si>
  <si>
    <t>Protocolo</t>
  </si>
  <si>
    <t>Data Abertura</t>
  </si>
  <si>
    <t>Setor Solicitante</t>
  </si>
  <si>
    <t>Tipo de Demanda</t>
  </si>
  <si>
    <t>Responsável</t>
  </si>
  <si>
    <t>Prioridade</t>
  </si>
  <si>
    <t>Prazo</t>
  </si>
  <si>
    <t>Data Conclusão</t>
  </si>
  <si>
    <t>Dias p/ Conclusão</t>
  </si>
  <si>
    <t>Atrasada?</t>
  </si>
  <si>
    <t>Mês</t>
  </si>
  <si>
    <t>ADM-001</t>
  </si>
  <si>
    <t>Demanda simulada para portfólio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</si>
  <si>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</si>
  <si>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</si>
  <si>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</si>
  <si>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</si>
  <si>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</si>
  <si>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</si>
  <si>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</si>
  <si>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</si>
  <si>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</si>
  <si>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ADM-011</t>
  </si>
  <si>
    <t>ADM-012</t>
  </si>
  <si>
    <t>ADM-013</t>
  </si>
  <si>
    <t>ADM-014</t>
  </si>
  <si>
    <t>ADM-015</t>
  </si>
  <si>
    <t>ADM-016</t>
  </si>
  <si>
    <t>ADM-017</t>
  </si>
  <si>
    <t>ADM-018</t>
  </si>
  <si>
    <t>ADM-019</t>
  </si>
  <si>
    <t>ADM-020</t>
  </si>
  <si>
    <t>ADM-021</t>
  </si>
  <si>
    <t>ADM-022</t>
  </si>
  <si>
    <t>ADM-023</t>
  </si>
  <si>
    <t>ADM-024</t>
  </si>
  <si>
    <t>ADM-025</t>
  </si>
  <si>
    <t>ADM-026</t>
  </si>
  <si>
    <t>ADM-027</t>
  </si>
  <si>
    <t>ADM-028</t>
  </si>
  <si>
    <t>ADM-029</t>
  </si>
  <si>
    <t>ADM-030</t>
  </si>
  <si>
    <t>ADM-031</t>
  </si>
  <si>
    <t>ADM-032</t>
  </si>
  <si>
    <t>ADM-033</t>
  </si>
  <si>
    <t>ADM-034</t>
  </si>
  <si>
    <t>ADM-035</t>
  </si>
  <si>
    <t>ADM-036</t>
  </si>
  <si>
    <t>ADM-037</t>
  </si>
  <si>
    <t>ADM-038</t>
  </si>
  <si>
    <t>ADM-039</t>
  </si>
  <si>
    <t>ADM-040</t>
  </si>
  <si>
    <t>ADM-041</t>
  </si>
  <si>
    <t>ADM-042</t>
  </si>
  <si>
    <t>ADM-043</t>
  </si>
  <si>
    <t>ADM-044</t>
  </si>
  <si>
    <t>ADM-045</t>
  </si>
  <si>
    <t>ADM-046</t>
  </si>
  <si>
    <t>ADM-047</t>
  </si>
  <si>
    <t>ADM-048</t>
  </si>
  <si>
    <t>ADM-049</t>
  </si>
  <si>
    <t>ADM-050</t>
  </si>
  <si>
    <t>ADM-051</t>
  </si>
  <si>
    <t>ADM-052</t>
  </si>
  <si>
    <t>ADM-053</t>
  </si>
  <si>
    <t>ADM-054</t>
  </si>
  <si>
    <t>ADM-055</t>
  </si>
  <si>
    <t>ADM-056</t>
  </si>
  <si>
    <t>ADM-057</t>
  </si>
  <si>
    <t>ADM-058</t>
  </si>
  <si>
    <t>ADM-059</t>
  </si>
  <si>
    <t>ADM-060</t>
  </si>
  <si>
    <t>Dashboard Administrativo — Jan a Jun/2026</t>
  </si>
  <si>
    <t>Indicadores de acompanhamento de solicitações administrativas | Projeto simulado</t>
  </si>
  <si>
    <t>Total de Solicitações</t>
  </si>
  <si>
    <t>Concluídas</t>
  </si>
  <si>
    <t>Em Andamento</t>
  </si>
  <si>
    <t>Pendentes</t>
  </si>
  <si>
    <t>Atrasadas</t>
  </si>
  <si>
    <t>Taxa de Conclusão</t>
  </si>
  <si>
    <t>Tempo Médio (dias)</t>
  </si>
  <si>
    <t>Alta Prioridade</t>
  </si>
  <si>
    <t>Solicitações por Setor</t>
  </si>
  <si>
    <t>Quantidade</t>
  </si>
  <si>
    <t>Demandas por Tipo</t>
  </si>
  <si>
    <t>Solicitações</t>
  </si>
  <si>
    <t>jan</t>
  </si>
  <si>
    <t>fev</t>
  </si>
  <si>
    <t>mar</t>
  </si>
  <si>
    <t>abr</t>
  </si>
  <si>
    <t>mai</t>
  </si>
  <si>
    <t>jun</t>
  </si>
  <si>
    <t>Como montar o Dashboard no Power BI</t>
  </si>
  <si>
    <t>Etapa</t>
  </si>
  <si>
    <t>O que fazer</t>
  </si>
  <si>
    <t>Campo/Medida</t>
  </si>
  <si>
    <t>Visual sugerido</t>
  </si>
  <si>
    <t>1</t>
  </si>
  <si>
    <t>Importar a tabela SolicitaçõesAdministrativas do Excel</t>
  </si>
  <si>
    <t>Base Administrativa</t>
  </si>
  <si>
    <t>Obter Dados &gt; Excel</t>
  </si>
  <si>
    <t>Carregar a base</t>
  </si>
  <si>
    <t>Use a tabela já estruturada.</t>
  </si>
  <si>
    <t>2</t>
  </si>
  <si>
    <t>Criar cartões de KPI</t>
  </si>
  <si>
    <t>Total, Concluídas, Em andamento, Pendentes, Atrasadas</t>
  </si>
  <si>
    <t>Cartões</t>
  </si>
  <si>
    <t>Resumo executivo</t>
  </si>
  <si>
    <t>Repita os indicadores do Dashboard do Excel.</t>
  </si>
  <si>
    <t>3</t>
  </si>
  <si>
    <t>Calcular taxa de conclusão</t>
  </si>
  <si>
    <t>Concluídas / Total</t>
  </si>
  <si>
    <t>Cartão percentual</t>
  </si>
  <si>
    <t>Mostrar eficiência</t>
  </si>
  <si>
    <t>Formatar como %.</t>
  </si>
  <si>
    <t>4</t>
  </si>
  <si>
    <t>Analisar solicitações por setor</t>
  </si>
  <si>
    <t>Setor Solicitante + contagem de Protocolo</t>
  </si>
  <si>
    <t>Gráfico de colunas</t>
  </si>
  <si>
    <t>Identificar setores com maior demanda</t>
  </si>
  <si>
    <t>Ordenar do maior para o menor.</t>
  </si>
  <si>
    <t>5</t>
  </si>
  <si>
    <t>Analisar tipo de demanda</t>
  </si>
  <si>
    <t>Tipo de Demanda + contagem</t>
  </si>
  <si>
    <t>Gráfico de barras</t>
  </si>
  <si>
    <t>Identificar atividades mais frequentes</t>
  </si>
  <si>
    <t>Use rótulos de dados.</t>
  </si>
  <si>
    <t>6</t>
  </si>
  <si>
    <t>Analisar status</t>
  </si>
  <si>
    <t>Status + contagem</t>
  </si>
  <si>
    <t>Rosca ou barras</t>
  </si>
  <si>
    <t>Acompanhar andamento</t>
  </si>
  <si>
    <t>Concluída, Em andamento e Pendente.</t>
  </si>
  <si>
    <t>7</t>
  </si>
  <si>
    <t>Analisar evolução</t>
  </si>
  <si>
    <t>Mês + contagem de Protocolo</t>
  </si>
  <si>
    <t>Linha</t>
  </si>
  <si>
    <t>Visualizar volume ao longo do tempo</t>
  </si>
  <si>
    <t>Ordenar cronologicamente.</t>
  </si>
  <si>
    <t>8</t>
  </si>
  <si>
    <t>Adicionar filtros</t>
  </si>
  <si>
    <t>Setor, Responsável, Prioridade e Status</t>
  </si>
  <si>
    <t>Segmentações</t>
  </si>
  <si>
    <t>Tornar o painel interativo</t>
  </si>
  <si>
    <t>Permite ao recrutador explorar os dados.</t>
  </si>
  <si>
    <t>Texto para o Portfólio — Dashboard Administrativo</t>
  </si>
  <si>
    <t>Campo</t>
  </si>
  <si>
    <t>Conteúdo</t>
  </si>
  <si>
    <t>Título</t>
  </si>
  <si>
    <t>Dashboard Administrativo — Controle de Solicitações</t>
  </si>
  <si>
    <t>Desenvolver uma base de controle administrativo e um painel para acompanhar solicitações, prazos, prioridades, responsáveis e status.</t>
  </si>
  <si>
    <t>Excel e Power BI</t>
  </si>
  <si>
    <t>Etapas</t>
  </si>
  <si>
    <t>Estruturação da base; padronização de categorias; criação de fórmulas; tratamento de prazos; definição de KPIs; construção do dashboard; preparação para Power BI.</t>
  </si>
  <si>
    <t>Competências demonstradas</t>
  </si>
  <si>
    <t>Organização de dados, Excel intermediário, acompanhamento de prazos, análise de indicadores, construção de dashboard e visão administrativa.</t>
  </si>
  <si>
    <t>Resultados</t>
  </si>
  <si>
    <t>Painel com indicadores de volume, conclusão, atrasos, prioridades, distribuição por setor/tipo e evolução mensal.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</si>
</sst>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7F6000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i/>
      <sz val="11"/>
      <color rgb="FF17324D"/>
      <name val="Carlito"/>
    </font>
    <font>
      <b/>
      <sz val="14"/>
      <name val="Carlito"/>
    </font>
    <font>
      <sz val="11"/>
      <color rgb="FF9C0006"/>
      <name val="Calibri"/>
      <family val="2"/>
      <scheme val="minor"/>
    </font>
    <font>
      <sz val="11"/>
      <color rgb="FF9C000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4F7FA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7" borderId="0" applyNumberFormat="0" applyBorder="0" applyAlignment="0" applyProtection="0"/>
  </cellStyleXfs>
  <cellXfs count="20">
    <xf numFmtId="0" fontId="0" fillId="0" borderId="0" xfId="0"/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wrapText="1"/>
    </xf>
    <xf numFmtId="0" fontId="6" fillId="6" borderId="0" xfId="0" applyNumberFormat="1" applyFont="1" applyFill="1" applyBorder="1" applyAlignment="1">
      <alignment horizontal="center"/>
    </xf>
    <xf numFmtId="164" fontId="6" fillId="6" borderId="0" xfId="0" applyNumberFormat="1" applyFont="1" applyFill="1" applyBorder="1" applyAlignment="1">
      <alignment horizontal="center"/>
    </xf>
    <xf numFmtId="165" fontId="6" fillId="6" borderId="0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/>
    </xf>
    <xf numFmtId="0" fontId="5" fillId="4" borderId="0" xfId="0" applyNumberFormat="1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8" fillId="7" borderId="0" xfId="1" applyFont="1" applyAlignment="1">
      <alignment horizontal="center" vertical="center"/>
    </xf>
  </cellXfs>
  <cellStyles count="2">
    <cellStyle name="Incorreto" xfId="1" builtinId="27"/>
    <cellStyle name="Normal" xfId="0" builtinId="0"/>
  </cellStyles>
  <dxfs count="28">
    <dxf>
      <alignment horizontal="center" vertical="center" textRotation="0" indent="0" relativeIndent="255" justifyLastLine="0" shrinkToFit="0" readingOrder="0"/>
    </dxf>
    <dxf>
      <alignment horizontal="left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center" vertical="center" textRotation="0" indent="0" relativeIndent="255" justifyLastLine="0" shrinkToFit="0" readingOrder="0"/>
    </dxf>
    <dxf>
      <alignment horizontal="left" textRotation="0" indent="0" relativeIndent="255" justifyLastLine="0" shrinkToFit="0" readingOrder="0"/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left" textRotation="0" indent="0" relativeIndent="255" justifyLastLine="0" shrinkToFit="0" readingOrder="0"/>
    </dxf>
    <dxf>
      <alignment horizontal="left" textRotation="0" indent="0" relativeIndent="255" justifyLastLine="0" shrinkToFit="0" readingOrder="0"/>
    </dxf>
    <dxf>
      <alignment horizontal="left" textRotation="0" indent="0" relativeIndent="255" justifyLastLine="0" shrinkToFit="0" readingOrder="0"/>
    </dxf>
    <dxf>
      <alignment horizontal="left" textRotation="0" indent="0" relativeIndent="255" justifyLastLine="0" shrinkToFit="0" readingOrder="0"/>
    </dxf>
    <dxf>
      <alignment horizontal="center" textRotation="0" indent="0" relativeIndent="255" justifyLastLine="0" shrinkToFit="0" mergeCell="0" readingOrder="0"/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Solicitações por Setor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cat>
            <c:strRef>
              <c:f>Dashboard!$A$13:$A$18</c:f>
              <c:strCache>
                <c:ptCount val="6"/>
                <c:pt idx="0">
                  <c:v>Financeiro</c:v>
                </c:pt>
                <c:pt idx="1">
                  <c:v>RH</c:v>
                </c:pt>
                <c:pt idx="2">
                  <c:v>Comercial</c:v>
                </c:pt>
                <c:pt idx="3">
                  <c:v>Operações</c:v>
                </c:pt>
                <c:pt idx="4">
                  <c:v>TI</c:v>
                </c:pt>
                <c:pt idx="5">
                  <c:v>Diretoria</c:v>
                </c:pt>
              </c:strCache>
            </c:strRef>
          </c:cat>
          <c:val>
            <c:numRef>
              <c:f>Dashboard!$B$13:$B$18</c:f>
              <c:numCache>
                <c:formatCode>General</c:formatCode>
                <c:ptCount val="6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</c:numCache>
            </c:numRef>
          </c:val>
        </c:ser>
        <c:axId val="44098304"/>
        <c:axId val="44099840"/>
      </c:barChart>
      <c:catAx>
        <c:axId val="44098304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099840"/>
        <c:crosses val="autoZero"/>
        <c:lblAlgn val="ctr"/>
        <c:lblOffset val="100"/>
      </c:catAx>
      <c:valAx>
        <c:axId val="44099840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098304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Demandas por Tipo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cat>
            <c:strRef>
              <c:f>Dashboard!$D$13:$D$20</c:f>
              <c:strCache>
                <c:ptCount val="8"/>
                <c:pt idx="0">
                  <c:v>Compra de material</c:v>
                </c:pt>
                <c:pt idx="1">
                  <c:v>Atualização cadastral</c:v>
                </c:pt>
                <c:pt idx="2">
                  <c:v>Emissão de documento</c:v>
                </c:pt>
                <c:pt idx="3">
                  <c:v>Organização de arquivo</c:v>
                </c:pt>
                <c:pt idx="4">
                  <c:v>Apoio a reunião</c:v>
                </c:pt>
                <c:pt idx="5">
                  <c:v>Cadastro em sistema</c:v>
                </c:pt>
                <c:pt idx="6">
                  <c:v>Relatório administrativo</c:v>
                </c:pt>
                <c:pt idx="7">
                  <c:v>Solicitação de pagamento</c:v>
                </c:pt>
              </c:strCache>
            </c:strRef>
          </c:cat>
          <c:val>
            <c:numRef>
              <c:f>Dashboard!$E$13:$E$20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</c:ser>
        <c:axId val="44128128"/>
        <c:axId val="44129664"/>
      </c:barChart>
      <c:catAx>
        <c:axId val="44128128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129664"/>
        <c:crosses val="autoZero"/>
        <c:lblAlgn val="ctr"/>
        <c:lblOffset val="100"/>
      </c:catAx>
      <c:valAx>
        <c:axId val="44129664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128128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Distribuição por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cat>
            <c:strRef>
              <c:f>Dashboard!$A$23:$A$25</c:f>
              <c:strCache>
                <c:ptCount val="3"/>
                <c:pt idx="0">
                  <c:v>Concluída</c:v>
                </c:pt>
                <c:pt idx="1">
                  <c:v>Em andamento</c:v>
                </c:pt>
                <c:pt idx="2">
                  <c:v>Pendente</c:v>
                </c:pt>
              </c:strCache>
            </c:strRef>
          </c:cat>
          <c:val>
            <c:numRef>
              <c:f>Dashboard!$B$23:$B$25</c:f>
              <c:numCache>
                <c:formatCode>General</c:formatCode>
                <c:ptCount val="3"/>
                <c:pt idx="0">
                  <c:v>38</c:v>
                </c:pt>
                <c:pt idx="1">
                  <c:v>15</c:v>
                </c:pt>
                <c:pt idx="2">
                  <c:v>7</c:v>
                </c:pt>
              </c:numCache>
            </c:numRef>
          </c:val>
        </c:ser>
        <c:axId val="44190336"/>
        <c:axId val="44204416"/>
      </c:barChart>
      <c:catAx>
        <c:axId val="44190336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204416"/>
        <c:crosses val="autoZero"/>
        <c:lblAlgn val="ctr"/>
        <c:lblOffset val="100"/>
      </c:catAx>
      <c:valAx>
        <c:axId val="44204416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190336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r>
              <a:rPr lang="pt-BR"/>
              <a:t>Evolução Mensal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Solicitações</c:v>
          </c:tx>
          <c:marker>
            <c:symbol val="none"/>
          </c:marker>
          <c:cat>
            <c:strRef>
              <c:f>Dashboard!$D$23:$D$28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Dashboard!$E$23:$E$28</c:f>
              <c:numCache>
                <c:formatCode>General</c:formatCode>
                <c:ptCount val="6"/>
                <c:pt idx="0">
                  <c:v>14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</c:ser>
        <c:marker val="1"/>
        <c:axId val="44211584"/>
        <c:axId val="44217472"/>
      </c:lineChart>
      <c:catAx>
        <c:axId val="44211584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217472"/>
        <c:crosses val="autoZero"/>
        <c:lblAlgn val="ctr"/>
        <c:lblOffset val="100"/>
      </c:catAx>
      <c:valAx>
        <c:axId val="44217472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txPr>
          <a:bodyPr/>
          <a:lstStyle/>
          <a:p>
            <a:pPr>
              <a:defRPr lang="en-US"/>
            </a:pPr>
            <a:endParaRPr lang="pt-BR"/>
          </a:p>
        </c:txPr>
        <c:crossAx val="44211584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olicitacoesAdministrativas" displayName="SolicitacoesAdministrativas" ref="A3:M63" totalsRowShown="0" headerRowDxfId="24" dataDxfId="23">
  <tableColumns count="13">
    <tableColumn id="1" name="Protocolo" dataDxfId="22"/>
    <tableColumn id="2" name="Data Abertura" dataDxfId="21"/>
    <tableColumn id="3" name="Setor Solicitante" dataDxfId="20"/>
    <tableColumn id="4" name="Tipo de Demanda" dataDxfId="9"/>
    <tableColumn id="5" name="Responsável" dataDxfId="8"/>
    <tableColumn id="6" name="Prioridade" dataDxfId="7"/>
    <tableColumn id="7" name="Prazo" dataDxfId="6"/>
    <tableColumn id="8" name="Status" dataDxfId="5"/>
    <tableColumn id="9" name="Data Conclusão" dataDxfId="4"/>
    <tableColumn id="10" name="Dias p/ Conclusão" dataDxfId="3"/>
    <tableColumn id="11" name="Atrasada?" dataDxfId="2"/>
    <tableColumn id="12" name="Mês" dataDxfId="0"/>
    <tableColumn id="13" name="Observaçã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selection sqref="A1:G1"/>
    </sheetView>
  </sheetViews>
  <sheetFormatPr defaultRowHeight="14.25"/>
  <cols>
    <col min="1" max="1" width="23" customWidth="1"/>
    <col min="2" max="2" width="72" customWidth="1"/>
  </cols>
  <sheetData>
    <row r="1" spans="1:7" ht="30" customHeight="1">
      <c r="A1" s="12" t="s">
        <v>0</v>
      </c>
      <c r="B1" s="12"/>
      <c r="C1" s="12"/>
      <c r="D1" s="12"/>
      <c r="E1" s="12"/>
      <c r="F1" s="12"/>
      <c r="G1" s="12"/>
    </row>
    <row r="3" spans="1:7" ht="33.950000000000003" customHeight="1">
      <c r="A3" s="13" t="s">
        <v>1</v>
      </c>
      <c r="B3" s="13"/>
      <c r="C3" s="13"/>
      <c r="D3" s="13"/>
      <c r="E3" s="13"/>
      <c r="F3" s="13"/>
      <c r="G3" s="13"/>
    </row>
    <row r="5" spans="1:7" ht="29.25">
      <c r="A5" s="1" t="s">
        <v>2</v>
      </c>
      <c r="B5" s="2" t="s">
        <v>3</v>
      </c>
    </row>
    <row r="6" spans="1:7" ht="15">
      <c r="A6" s="1" t="s">
        <v>4</v>
      </c>
      <c r="B6" s="2" t="s">
        <v>5</v>
      </c>
    </row>
    <row r="7" spans="1:7" ht="15">
      <c r="A7" s="1" t="s">
        <v>6</v>
      </c>
      <c r="B7" s="2" t="s">
        <v>7</v>
      </c>
    </row>
    <row r="8" spans="1:7" ht="15">
      <c r="A8" s="1" t="s">
        <v>8</v>
      </c>
      <c r="B8" s="2" t="s">
        <v>9</v>
      </c>
    </row>
    <row r="9" spans="1:7" ht="29.25">
      <c r="A9" s="1" t="s">
        <v>10</v>
      </c>
      <c r="B9" s="2" t="s">
        <v>11</v>
      </c>
    </row>
    <row r="10" spans="1:7" ht="15">
      <c r="A10" s="1" t="s">
        <v>12</v>
      </c>
      <c r="B10" s="2" t="s">
        <v>13</v>
      </c>
    </row>
    <row r="11" spans="1:7" ht="29.25">
      <c r="A11" s="1" t="s">
        <v>14</v>
      </c>
      <c r="B11" s="2" t="s">
        <v>15</v>
      </c>
    </row>
    <row r="12" spans="1:7" ht="29.25">
      <c r="A12" s="1" t="s">
        <v>16</v>
      </c>
      <c r="B12" s="2" t="s">
        <v>17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4.25"/>
  <cols>
    <col min="1" max="5" width="26" customWidth="1"/>
  </cols>
  <sheetData>
    <row r="1" spans="1:5" ht="1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spans="1: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>
      <c r="A3" t="s">
        <v>28</v>
      </c>
      <c r="B3" t="s">
        <v>29</v>
      </c>
      <c r="C3" t="s">
        <v>30</v>
      </c>
      <c r="D3" t="s">
        <v>31</v>
      </c>
      <c r="E3" t="s">
        <v>32</v>
      </c>
    </row>
    <row r="4" spans="1:5">
      <c r="A4" t="s">
        <v>33</v>
      </c>
      <c r="B4" t="s">
        <v>34</v>
      </c>
      <c r="C4" t="s">
        <v>35</v>
      </c>
      <c r="D4" t="s">
        <v>36</v>
      </c>
      <c r="E4" t="s">
        <v>37</v>
      </c>
    </row>
    <row r="5" spans="1:5">
      <c r="A5" t="s">
        <v>38</v>
      </c>
      <c r="B5" t="s">
        <v>39</v>
      </c>
      <c r="C5" t="s">
        <v>40</v>
      </c>
    </row>
    <row r="6" spans="1:5">
      <c r="A6" t="s">
        <v>41</v>
      </c>
      <c r="B6" t="s">
        <v>42</v>
      </c>
      <c r="C6" t="s">
        <v>43</v>
      </c>
    </row>
    <row r="7" spans="1:5">
      <c r="A7" t="s">
        <v>44</v>
      </c>
      <c r="B7" t="s">
        <v>45</v>
      </c>
    </row>
    <row r="8" spans="1:5">
      <c r="B8" t="s">
        <v>46</v>
      </c>
    </row>
    <row r="9" spans="1:5">
      <c r="B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3"/>
  <sheetViews>
    <sheetView workbookViewId="0">
      <selection activeCell="D2" sqref="D2"/>
    </sheetView>
  </sheetViews>
  <sheetFormatPr defaultRowHeight="14.25"/>
  <cols>
    <col min="1" max="1" width="15.375" style="9" customWidth="1"/>
    <col min="2" max="2" width="15.625" style="9" customWidth="1"/>
    <col min="3" max="3" width="18" style="9" customWidth="1"/>
    <col min="4" max="4" width="25" style="9" customWidth="1"/>
    <col min="5" max="12" width="18" style="17" customWidth="1"/>
    <col min="13" max="13" width="30" style="9" customWidth="1"/>
    <col min="15" max="15" width="17.5" bestFit="1" customWidth="1"/>
    <col min="16" max="16" width="9.875" bestFit="1" customWidth="1"/>
  </cols>
  <sheetData>
    <row r="1" spans="1:16" ht="30" customHeight="1">
      <c r="A1" s="14" t="s">
        <v>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6" ht="15">
      <c r="O2" s="1" t="s">
        <v>49</v>
      </c>
      <c r="P2" s="4">
        <v>46203</v>
      </c>
    </row>
    <row r="3" spans="1:16" s="11" customFormat="1" ht="15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22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16</v>
      </c>
    </row>
    <row r="4" spans="1:16">
      <c r="A4" s="9" t="s">
        <v>61</v>
      </c>
      <c r="B4" s="10">
        <v>46078</v>
      </c>
      <c r="C4" s="9" t="s">
        <v>44</v>
      </c>
      <c r="D4" s="9" t="s">
        <v>39</v>
      </c>
      <c r="E4" s="17" t="s">
        <v>40</v>
      </c>
      <c r="F4" s="17" t="s">
        <v>31</v>
      </c>
      <c r="G4" s="18">
        <v>46085</v>
      </c>
      <c r="H4" s="17" t="s">
        <v>27</v>
      </c>
      <c r="I4" s="18">
        <v>46086</v>
      </c>
      <c r="J4" s="17">
        <f t="shared" ref="J4:J35" si="0">IF(I4="","",I4-B4)</f>
        <v>8</v>
      </c>
      <c r="K4" s="17" t="str">
        <f t="shared" ref="K4:K35" si="1">IF(H4="Concluída",IF(I4&gt;G4,"Sim","Não"),IF($P$2&gt;G4,"Sim","Não"))</f>
        <v>Sim</v>
      </c>
      <c r="L4" s="17" t="str">
        <f t="shared" ref="L4:L35" si="2">TEXT(B4,"mmm")</f>
        <v>fev</v>
      </c>
      <c r="M4" s="9" t="s">
        <v>62</v>
      </c>
    </row>
    <row r="5" spans="1:16">
      <c r="A5" s="9" t="s">
        <v>63</v>
      </c>
      <c r="B5" s="10">
        <v>46037</v>
      </c>
      <c r="C5" s="9" t="s">
        <v>44</v>
      </c>
      <c r="D5" s="9" t="s">
        <v>34</v>
      </c>
      <c r="E5" s="17" t="s">
        <v>40</v>
      </c>
      <c r="F5" s="17" t="s">
        <v>36</v>
      </c>
      <c r="G5" s="18">
        <v>46041</v>
      </c>
      <c r="H5" s="19" t="s">
        <v>37</v>
      </c>
      <c r="I5" s="18"/>
      <c r="J5" s="17" t="str">
        <f t="shared" si="0"/>
        <v/>
      </c>
      <c r="K5" s="17" t="str">
        <f t="shared" si="1"/>
        <v>Sim</v>
      </c>
      <c r="L5" s="17" t="str">
        <f t="shared" si="2"/>
        <v>jan</v>
      </c>
      <c r="M5" s="9" t="s">
        <v>62</v>
      </c>
    </row>
    <row r="6" spans="1:16">
      <c r="A6" s="9" t="s">
        <v>64</v>
      </c>
      <c r="B6" s="10">
        <v>46131</v>
      </c>
      <c r="C6" s="9" t="s">
        <v>44</v>
      </c>
      <c r="D6" s="9" t="s">
        <v>39</v>
      </c>
      <c r="E6" s="17" t="s">
        <v>25</v>
      </c>
      <c r="F6" s="17" t="s">
        <v>31</v>
      </c>
      <c r="G6" s="18">
        <v>46138</v>
      </c>
      <c r="H6" s="17" t="s">
        <v>32</v>
      </c>
      <c r="I6" s="18"/>
      <c r="J6" s="17" t="str">
        <f t="shared" si="0"/>
        <v/>
      </c>
      <c r="K6" s="17" t="str">
        <f t="shared" si="1"/>
        <v>Sim</v>
      </c>
      <c r="L6" s="17" t="str">
        <f t="shared" si="2"/>
        <v>abr</v>
      </c>
      <c r="M6" s="9" t="s">
        <v>62</v>
      </c>
    </row>
    <row r="7" spans="1:16">
      <c r="A7" s="9" t="s">
        <v>65</v>
      </c>
      <c r="B7" s="10">
        <v>46063</v>
      </c>
      <c r="C7" s="9" t="s">
        <v>28</v>
      </c>
      <c r="D7" s="9" t="s">
        <v>39</v>
      </c>
      <c r="E7" s="17" t="s">
        <v>43</v>
      </c>
      <c r="F7" s="17" t="s">
        <v>31</v>
      </c>
      <c r="G7" s="18">
        <v>46070</v>
      </c>
      <c r="H7" s="17" t="s">
        <v>32</v>
      </c>
      <c r="I7" s="18"/>
      <c r="J7" s="17" t="str">
        <f t="shared" si="0"/>
        <v/>
      </c>
      <c r="K7" s="17" t="str">
        <f t="shared" si="1"/>
        <v>Sim</v>
      </c>
      <c r="L7" s="17" t="str">
        <f t="shared" si="2"/>
        <v>fev</v>
      </c>
      <c r="M7" s="9" t="s">
        <v>62</v>
      </c>
    </row>
    <row r="8" spans="1:16">
      <c r="A8" s="9" t="s">
        <v>66</v>
      </c>
      <c r="B8" s="10">
        <v>46126</v>
      </c>
      <c r="C8" s="9" t="s">
        <v>33</v>
      </c>
      <c r="D8" s="9" t="s">
        <v>39</v>
      </c>
      <c r="E8" s="17" t="s">
        <v>43</v>
      </c>
      <c r="F8" s="17" t="s">
        <v>26</v>
      </c>
      <c r="G8" s="18">
        <v>46138</v>
      </c>
      <c r="H8" s="19" t="s">
        <v>37</v>
      </c>
      <c r="I8" s="18"/>
      <c r="J8" s="17" t="str">
        <f t="shared" si="0"/>
        <v/>
      </c>
      <c r="K8" s="17" t="str">
        <f t="shared" si="1"/>
        <v>Sim</v>
      </c>
      <c r="L8" s="17" t="str">
        <f t="shared" si="2"/>
        <v>abr</v>
      </c>
      <c r="M8" s="9" t="s">
        <v>62</v>
      </c>
    </row>
    <row r="9" spans="1:16">
      <c r="A9" s="9" t="s">
        <v>67</v>
      </c>
      <c r="B9" s="10">
        <v>46102</v>
      </c>
      <c r="C9" s="9" t="s">
        <v>41</v>
      </c>
      <c r="D9" s="9" t="s">
        <v>29</v>
      </c>
      <c r="E9" s="17" t="s">
        <v>43</v>
      </c>
      <c r="F9" s="17" t="s">
        <v>26</v>
      </c>
      <c r="G9" s="18">
        <v>46114</v>
      </c>
      <c r="H9" s="17" t="s">
        <v>27</v>
      </c>
      <c r="I9" s="18">
        <v>46112</v>
      </c>
      <c r="J9" s="17">
        <f t="shared" si="0"/>
        <v>10</v>
      </c>
      <c r="K9" s="17" t="str">
        <f t="shared" si="1"/>
        <v>Não</v>
      </c>
      <c r="L9" s="17" t="str">
        <f t="shared" si="2"/>
        <v>mar</v>
      </c>
      <c r="M9" s="9" t="s">
        <v>62</v>
      </c>
    </row>
    <row r="10" spans="1:16">
      <c r="A10" s="9" t="s">
        <v>68</v>
      </c>
      <c r="B10" s="10">
        <v>46195</v>
      </c>
      <c r="C10" s="9" t="s">
        <v>41</v>
      </c>
      <c r="D10" s="9" t="s">
        <v>45</v>
      </c>
      <c r="E10" s="17" t="s">
        <v>35</v>
      </c>
      <c r="F10" s="17" t="s">
        <v>36</v>
      </c>
      <c r="G10" s="18">
        <v>46199</v>
      </c>
      <c r="H10" s="17" t="s">
        <v>27</v>
      </c>
      <c r="I10" s="18">
        <v>46202</v>
      </c>
      <c r="J10" s="17">
        <f t="shared" si="0"/>
        <v>7</v>
      </c>
      <c r="K10" s="17" t="str">
        <f t="shared" si="1"/>
        <v>Sim</v>
      </c>
      <c r="L10" s="17" t="str">
        <f t="shared" si="2"/>
        <v>jun</v>
      </c>
      <c r="M10" s="9" t="s">
        <v>62</v>
      </c>
    </row>
    <row r="11" spans="1:16">
      <c r="A11" s="9" t="s">
        <v>69</v>
      </c>
      <c r="B11" s="10">
        <v>46078</v>
      </c>
      <c r="C11" s="9" t="s">
        <v>23</v>
      </c>
      <c r="D11" s="9" t="s">
        <v>42</v>
      </c>
      <c r="E11" s="17" t="s">
        <v>30</v>
      </c>
      <c r="F11" s="17" t="s">
        <v>36</v>
      </c>
      <c r="G11" s="18">
        <v>46082</v>
      </c>
      <c r="H11" s="17" t="s">
        <v>27</v>
      </c>
      <c r="I11" s="18">
        <v>46082</v>
      </c>
      <c r="J11" s="17">
        <f t="shared" si="0"/>
        <v>4</v>
      </c>
      <c r="K11" s="17" t="str">
        <f t="shared" si="1"/>
        <v>Não</v>
      </c>
      <c r="L11" s="17" t="str">
        <f t="shared" si="2"/>
        <v>fev</v>
      </c>
      <c r="M11" s="9" t="s">
        <v>62</v>
      </c>
    </row>
    <row r="12" spans="1:16">
      <c r="A12" s="9" t="s">
        <v>70</v>
      </c>
      <c r="B12" s="10">
        <v>46182</v>
      </c>
      <c r="C12" s="9" t="s">
        <v>41</v>
      </c>
      <c r="D12" s="9" t="s">
        <v>34</v>
      </c>
      <c r="E12" s="17" t="s">
        <v>25</v>
      </c>
      <c r="F12" s="17" t="s">
        <v>26</v>
      </c>
      <c r="G12" s="18">
        <v>46194</v>
      </c>
      <c r="H12" s="17" t="s">
        <v>27</v>
      </c>
      <c r="I12" s="18">
        <v>46191</v>
      </c>
      <c r="J12" s="17">
        <f t="shared" si="0"/>
        <v>9</v>
      </c>
      <c r="K12" s="17" t="str">
        <f t="shared" si="1"/>
        <v>Não</v>
      </c>
      <c r="L12" s="17" t="str">
        <f t="shared" si="2"/>
        <v>jun</v>
      </c>
      <c r="M12" s="9" t="s">
        <v>62</v>
      </c>
    </row>
    <row r="13" spans="1:16">
      <c r="A13" s="9" t="s">
        <v>71</v>
      </c>
      <c r="B13" s="10">
        <v>46038</v>
      </c>
      <c r="C13" s="9" t="s">
        <v>23</v>
      </c>
      <c r="D13" s="9" t="s">
        <v>46</v>
      </c>
      <c r="E13" s="17" t="s">
        <v>30</v>
      </c>
      <c r="F13" s="17" t="s">
        <v>31</v>
      </c>
      <c r="G13" s="18">
        <v>46045</v>
      </c>
      <c r="H13" s="17" t="s">
        <v>32</v>
      </c>
      <c r="I13" s="18"/>
      <c r="J13" s="17" t="str">
        <f t="shared" si="0"/>
        <v/>
      </c>
      <c r="K13" s="17" t="str">
        <f t="shared" si="1"/>
        <v>Sim</v>
      </c>
      <c r="L13" s="17" t="str">
        <f t="shared" si="2"/>
        <v>jan</v>
      </c>
      <c r="M13" s="9" t="s">
        <v>62</v>
      </c>
    </row>
    <row r="14" spans="1:16">
      <c r="A14" s="9" t="s">
        <v>72</v>
      </c>
      <c r="B14" s="10">
        <v>46050</v>
      </c>
      <c r="C14" s="9" t="s">
        <v>41</v>
      </c>
      <c r="D14" s="9" t="s">
        <v>45</v>
      </c>
      <c r="E14" s="17" t="s">
        <v>25</v>
      </c>
      <c r="F14" s="17" t="s">
        <v>31</v>
      </c>
      <c r="G14" s="18">
        <v>46057</v>
      </c>
      <c r="H14" s="17" t="s">
        <v>27</v>
      </c>
      <c r="I14" s="18">
        <v>46057</v>
      </c>
      <c r="J14" s="17">
        <f t="shared" si="0"/>
        <v>7</v>
      </c>
      <c r="K14" s="17" t="str">
        <f t="shared" si="1"/>
        <v>Não</v>
      </c>
      <c r="L14" s="17" t="str">
        <f t="shared" si="2"/>
        <v>jan</v>
      </c>
      <c r="M14" s="9" t="s">
        <v>62</v>
      </c>
    </row>
    <row r="15" spans="1:16">
      <c r="A15" s="9" t="s">
        <v>73</v>
      </c>
      <c r="B15" s="10">
        <v>46144</v>
      </c>
      <c r="C15" s="9" t="s">
        <v>41</v>
      </c>
      <c r="D15" s="9" t="s">
        <v>29</v>
      </c>
      <c r="E15" s="17" t="s">
        <v>25</v>
      </c>
      <c r="F15" s="17" t="s">
        <v>31</v>
      </c>
      <c r="G15" s="18">
        <v>46151</v>
      </c>
      <c r="H15" s="17" t="s">
        <v>27</v>
      </c>
      <c r="I15" s="18">
        <v>46146</v>
      </c>
      <c r="J15" s="17">
        <f t="shared" si="0"/>
        <v>2</v>
      </c>
      <c r="K15" s="17" t="str">
        <f t="shared" si="1"/>
        <v>Não</v>
      </c>
      <c r="L15" s="17" t="str">
        <f t="shared" si="2"/>
        <v>mai</v>
      </c>
      <c r="M15" s="9" t="s">
        <v>62</v>
      </c>
    </row>
    <row r="16" spans="1:16">
      <c r="A16" s="9" t="s">
        <v>74</v>
      </c>
      <c r="B16" s="10">
        <v>46061</v>
      </c>
      <c r="C16" s="9" t="s">
        <v>44</v>
      </c>
      <c r="D16" s="9" t="s">
        <v>42</v>
      </c>
      <c r="E16" s="17" t="s">
        <v>35</v>
      </c>
      <c r="F16" s="17" t="s">
        <v>36</v>
      </c>
      <c r="G16" s="18">
        <v>46065</v>
      </c>
      <c r="H16" s="17" t="s">
        <v>32</v>
      </c>
      <c r="I16" s="18"/>
      <c r="J16" s="17" t="str">
        <f t="shared" si="0"/>
        <v/>
      </c>
      <c r="K16" s="17" t="str">
        <f t="shared" si="1"/>
        <v>Sim</v>
      </c>
      <c r="L16" s="17" t="str">
        <f t="shared" si="2"/>
        <v>fev</v>
      </c>
      <c r="M16" s="9" t="s">
        <v>62</v>
      </c>
    </row>
    <row r="17" spans="1:13">
      <c r="A17" s="9" t="s">
        <v>75</v>
      </c>
      <c r="B17" s="10">
        <v>46181</v>
      </c>
      <c r="C17" s="9" t="s">
        <v>44</v>
      </c>
      <c r="D17" s="9" t="s">
        <v>46</v>
      </c>
      <c r="E17" s="17" t="s">
        <v>35</v>
      </c>
      <c r="F17" s="17" t="s">
        <v>31</v>
      </c>
      <c r="G17" s="18">
        <v>46188</v>
      </c>
      <c r="H17" s="17" t="s">
        <v>27</v>
      </c>
      <c r="I17" s="18">
        <v>46182</v>
      </c>
      <c r="J17" s="17">
        <f t="shared" si="0"/>
        <v>1</v>
      </c>
      <c r="K17" s="17" t="str">
        <f t="shared" si="1"/>
        <v>Não</v>
      </c>
      <c r="L17" s="17" t="str">
        <f t="shared" si="2"/>
        <v>jun</v>
      </c>
      <c r="M17" s="9" t="s">
        <v>62</v>
      </c>
    </row>
    <row r="18" spans="1:13">
      <c r="A18" s="9" t="s">
        <v>76</v>
      </c>
      <c r="B18" s="10">
        <v>46038</v>
      </c>
      <c r="C18" s="9" t="s">
        <v>28</v>
      </c>
      <c r="D18" s="9" t="s">
        <v>24</v>
      </c>
      <c r="E18" s="17" t="s">
        <v>43</v>
      </c>
      <c r="F18" s="17" t="s">
        <v>26</v>
      </c>
      <c r="G18" s="18">
        <v>46050</v>
      </c>
      <c r="H18" s="19" t="s">
        <v>37</v>
      </c>
      <c r="I18" s="18"/>
      <c r="J18" s="17" t="str">
        <f t="shared" si="0"/>
        <v/>
      </c>
      <c r="K18" s="17" t="str">
        <f t="shared" si="1"/>
        <v>Sim</v>
      </c>
      <c r="L18" s="17" t="str">
        <f t="shared" si="2"/>
        <v>jan</v>
      </c>
      <c r="M18" s="9" t="s">
        <v>62</v>
      </c>
    </row>
    <row r="19" spans="1:13">
      <c r="A19" s="9" t="s">
        <v>77</v>
      </c>
      <c r="B19" s="10">
        <v>46148</v>
      </c>
      <c r="C19" s="9" t="s">
        <v>23</v>
      </c>
      <c r="D19" s="9" t="s">
        <v>34</v>
      </c>
      <c r="E19" s="17" t="s">
        <v>43</v>
      </c>
      <c r="F19" s="17" t="s">
        <v>26</v>
      </c>
      <c r="G19" s="18">
        <v>46160</v>
      </c>
      <c r="H19" s="17" t="s">
        <v>27</v>
      </c>
      <c r="I19" s="18">
        <v>46155</v>
      </c>
      <c r="J19" s="17">
        <f t="shared" si="0"/>
        <v>7</v>
      </c>
      <c r="K19" s="17" t="str">
        <f t="shared" si="1"/>
        <v>Não</v>
      </c>
      <c r="L19" s="17" t="str">
        <f t="shared" si="2"/>
        <v>mai</v>
      </c>
      <c r="M19" s="9" t="s">
        <v>62</v>
      </c>
    </row>
    <row r="20" spans="1:13">
      <c r="A20" s="9" t="s">
        <v>78</v>
      </c>
      <c r="B20" s="10">
        <v>46039</v>
      </c>
      <c r="C20" s="9" t="s">
        <v>33</v>
      </c>
      <c r="D20" s="9" t="s">
        <v>46</v>
      </c>
      <c r="E20" s="17" t="s">
        <v>30</v>
      </c>
      <c r="F20" s="17" t="s">
        <v>26</v>
      </c>
      <c r="G20" s="18">
        <v>46051</v>
      </c>
      <c r="H20" s="17" t="s">
        <v>27</v>
      </c>
      <c r="I20" s="18">
        <v>46041</v>
      </c>
      <c r="J20" s="17">
        <f t="shared" si="0"/>
        <v>2</v>
      </c>
      <c r="K20" s="17" t="str">
        <f t="shared" si="1"/>
        <v>Não</v>
      </c>
      <c r="L20" s="17" t="str">
        <f t="shared" si="2"/>
        <v>jan</v>
      </c>
      <c r="M20" s="9" t="s">
        <v>62</v>
      </c>
    </row>
    <row r="21" spans="1:13">
      <c r="A21" s="9" t="s">
        <v>79</v>
      </c>
      <c r="B21" s="10">
        <v>46044</v>
      </c>
      <c r="C21" s="9" t="s">
        <v>41</v>
      </c>
      <c r="D21" s="9" t="s">
        <v>24</v>
      </c>
      <c r="E21" s="17" t="s">
        <v>25</v>
      </c>
      <c r="F21" s="17" t="s">
        <v>36</v>
      </c>
      <c r="G21" s="18">
        <v>46048</v>
      </c>
      <c r="H21" s="19" t="s">
        <v>37</v>
      </c>
      <c r="I21" s="18"/>
      <c r="J21" s="17" t="str">
        <f t="shared" si="0"/>
        <v/>
      </c>
      <c r="K21" s="17" t="str">
        <f t="shared" si="1"/>
        <v>Sim</v>
      </c>
      <c r="L21" s="17" t="str">
        <f t="shared" si="2"/>
        <v>jan</v>
      </c>
      <c r="M21" s="9" t="s">
        <v>62</v>
      </c>
    </row>
    <row r="22" spans="1:13">
      <c r="A22" s="9" t="s">
        <v>80</v>
      </c>
      <c r="B22" s="10">
        <v>46166</v>
      </c>
      <c r="C22" s="9" t="s">
        <v>23</v>
      </c>
      <c r="D22" s="9" t="s">
        <v>42</v>
      </c>
      <c r="E22" s="17" t="s">
        <v>40</v>
      </c>
      <c r="F22" s="17" t="s">
        <v>36</v>
      </c>
      <c r="G22" s="18">
        <v>46170</v>
      </c>
      <c r="H22" s="17" t="s">
        <v>27</v>
      </c>
      <c r="I22" s="18">
        <v>46172</v>
      </c>
      <c r="J22" s="17">
        <f t="shared" si="0"/>
        <v>6</v>
      </c>
      <c r="K22" s="17" t="str">
        <f t="shared" si="1"/>
        <v>Sim</v>
      </c>
      <c r="L22" s="17" t="str">
        <f t="shared" si="2"/>
        <v>mai</v>
      </c>
      <c r="M22" s="9" t="s">
        <v>62</v>
      </c>
    </row>
    <row r="23" spans="1:13">
      <c r="A23" s="9" t="s">
        <v>81</v>
      </c>
      <c r="B23" s="10">
        <v>46167</v>
      </c>
      <c r="C23" s="9" t="s">
        <v>44</v>
      </c>
      <c r="D23" s="9" t="s">
        <v>46</v>
      </c>
      <c r="E23" s="17" t="s">
        <v>25</v>
      </c>
      <c r="F23" s="17" t="s">
        <v>26</v>
      </c>
      <c r="G23" s="18">
        <v>46179</v>
      </c>
      <c r="H23" s="19" t="s">
        <v>37</v>
      </c>
      <c r="I23" s="18"/>
      <c r="J23" s="17" t="str">
        <f t="shared" si="0"/>
        <v/>
      </c>
      <c r="K23" s="17" t="str">
        <f t="shared" si="1"/>
        <v>Sim</v>
      </c>
      <c r="L23" s="17" t="str">
        <f t="shared" si="2"/>
        <v>mai</v>
      </c>
      <c r="M23" s="9" t="s">
        <v>62</v>
      </c>
    </row>
    <row r="24" spans="1:13">
      <c r="A24" s="9" t="s">
        <v>82</v>
      </c>
      <c r="B24" s="10">
        <v>46139</v>
      </c>
      <c r="C24" s="9" t="s">
        <v>28</v>
      </c>
      <c r="D24" s="9" t="s">
        <v>42</v>
      </c>
      <c r="E24" s="17" t="s">
        <v>30</v>
      </c>
      <c r="F24" s="17" t="s">
        <v>26</v>
      </c>
      <c r="G24" s="18">
        <v>46151</v>
      </c>
      <c r="H24" s="17" t="s">
        <v>27</v>
      </c>
      <c r="I24" s="18">
        <v>46146</v>
      </c>
      <c r="J24" s="17">
        <f t="shared" si="0"/>
        <v>7</v>
      </c>
      <c r="K24" s="17" t="str">
        <f t="shared" si="1"/>
        <v>Não</v>
      </c>
      <c r="L24" s="17" t="str">
        <f t="shared" si="2"/>
        <v>abr</v>
      </c>
      <c r="M24" s="9" t="s">
        <v>62</v>
      </c>
    </row>
    <row r="25" spans="1:13">
      <c r="A25" s="9" t="s">
        <v>83</v>
      </c>
      <c r="B25" s="10">
        <v>46129</v>
      </c>
      <c r="C25" s="9" t="s">
        <v>41</v>
      </c>
      <c r="D25" s="9" t="s">
        <v>45</v>
      </c>
      <c r="E25" s="17" t="s">
        <v>25</v>
      </c>
      <c r="F25" s="17" t="s">
        <v>31</v>
      </c>
      <c r="G25" s="18">
        <v>46136</v>
      </c>
      <c r="H25" s="17" t="s">
        <v>27</v>
      </c>
      <c r="I25" s="18">
        <v>46132</v>
      </c>
      <c r="J25" s="17">
        <f t="shared" si="0"/>
        <v>3</v>
      </c>
      <c r="K25" s="17" t="str">
        <f t="shared" si="1"/>
        <v>Não</v>
      </c>
      <c r="L25" s="17" t="str">
        <f t="shared" si="2"/>
        <v>abr</v>
      </c>
      <c r="M25" s="9" t="s">
        <v>62</v>
      </c>
    </row>
    <row r="26" spans="1:13">
      <c r="A26" s="9" t="s">
        <v>84</v>
      </c>
      <c r="B26" s="10">
        <v>46038</v>
      </c>
      <c r="C26" s="9" t="s">
        <v>23</v>
      </c>
      <c r="D26" s="9" t="s">
        <v>34</v>
      </c>
      <c r="E26" s="17" t="s">
        <v>40</v>
      </c>
      <c r="F26" s="17" t="s">
        <v>26</v>
      </c>
      <c r="G26" s="18">
        <v>46050</v>
      </c>
      <c r="H26" s="17" t="s">
        <v>27</v>
      </c>
      <c r="I26" s="18">
        <v>46043</v>
      </c>
      <c r="J26" s="17">
        <f t="shared" si="0"/>
        <v>5</v>
      </c>
      <c r="K26" s="17" t="str">
        <f t="shared" si="1"/>
        <v>Não</v>
      </c>
      <c r="L26" s="17" t="str">
        <f t="shared" si="2"/>
        <v>jan</v>
      </c>
      <c r="M26" s="9" t="s">
        <v>62</v>
      </c>
    </row>
    <row r="27" spans="1:13">
      <c r="A27" s="9" t="s">
        <v>85</v>
      </c>
      <c r="B27" s="10">
        <v>46109</v>
      </c>
      <c r="C27" s="9" t="s">
        <v>38</v>
      </c>
      <c r="D27" s="9" t="s">
        <v>47</v>
      </c>
      <c r="E27" s="17" t="s">
        <v>30</v>
      </c>
      <c r="F27" s="17" t="s">
        <v>31</v>
      </c>
      <c r="G27" s="18">
        <v>46116</v>
      </c>
      <c r="H27" s="17" t="s">
        <v>27</v>
      </c>
      <c r="I27" s="18">
        <v>46118</v>
      </c>
      <c r="J27" s="17">
        <f t="shared" si="0"/>
        <v>9</v>
      </c>
      <c r="K27" s="17" t="str">
        <f t="shared" si="1"/>
        <v>Sim</v>
      </c>
      <c r="L27" s="17" t="str">
        <f t="shared" si="2"/>
        <v>mar</v>
      </c>
      <c r="M27" s="9" t="s">
        <v>62</v>
      </c>
    </row>
    <row r="28" spans="1:13">
      <c r="A28" s="9" t="s">
        <v>86</v>
      </c>
      <c r="B28" s="10">
        <v>46052</v>
      </c>
      <c r="C28" s="9" t="s">
        <v>23</v>
      </c>
      <c r="D28" s="9" t="s">
        <v>24</v>
      </c>
      <c r="E28" s="17" t="s">
        <v>30</v>
      </c>
      <c r="F28" s="17" t="s">
        <v>26</v>
      </c>
      <c r="G28" s="18">
        <v>46064</v>
      </c>
      <c r="H28" s="17" t="s">
        <v>27</v>
      </c>
      <c r="I28" s="18">
        <v>46061</v>
      </c>
      <c r="J28" s="17">
        <f t="shared" si="0"/>
        <v>9</v>
      </c>
      <c r="K28" s="17" t="str">
        <f t="shared" si="1"/>
        <v>Não</v>
      </c>
      <c r="L28" s="17" t="str">
        <f t="shared" si="2"/>
        <v>jan</v>
      </c>
      <c r="M28" s="9" t="s">
        <v>62</v>
      </c>
    </row>
    <row r="29" spans="1:13">
      <c r="A29" s="9" t="s">
        <v>87</v>
      </c>
      <c r="B29" s="10">
        <v>46061</v>
      </c>
      <c r="C29" s="9" t="s">
        <v>23</v>
      </c>
      <c r="D29" s="9" t="s">
        <v>34</v>
      </c>
      <c r="E29" s="17" t="s">
        <v>30</v>
      </c>
      <c r="F29" s="17" t="s">
        <v>36</v>
      </c>
      <c r="G29" s="18">
        <v>46065</v>
      </c>
      <c r="H29" s="19" t="s">
        <v>37</v>
      </c>
      <c r="I29" s="18"/>
      <c r="J29" s="17" t="str">
        <f t="shared" si="0"/>
        <v/>
      </c>
      <c r="K29" s="17" t="str">
        <f t="shared" si="1"/>
        <v>Sim</v>
      </c>
      <c r="L29" s="17" t="str">
        <f t="shared" si="2"/>
        <v>fev</v>
      </c>
      <c r="M29" s="9" t="s">
        <v>62</v>
      </c>
    </row>
    <row r="30" spans="1:13">
      <c r="A30" s="9" t="s">
        <v>88</v>
      </c>
      <c r="B30" s="10">
        <v>46040</v>
      </c>
      <c r="C30" s="9" t="s">
        <v>38</v>
      </c>
      <c r="D30" s="9" t="s">
        <v>47</v>
      </c>
      <c r="E30" s="17" t="s">
        <v>43</v>
      </c>
      <c r="F30" s="17" t="s">
        <v>26</v>
      </c>
      <c r="G30" s="18">
        <v>46052</v>
      </c>
      <c r="H30" s="17" t="s">
        <v>32</v>
      </c>
      <c r="I30" s="18"/>
      <c r="J30" s="17" t="str">
        <f t="shared" si="0"/>
        <v/>
      </c>
      <c r="K30" s="17" t="str">
        <f t="shared" si="1"/>
        <v>Sim</v>
      </c>
      <c r="L30" s="17" t="str">
        <f t="shared" si="2"/>
        <v>jan</v>
      </c>
      <c r="M30" s="9" t="s">
        <v>62</v>
      </c>
    </row>
    <row r="31" spans="1:13">
      <c r="A31" s="9" t="s">
        <v>89</v>
      </c>
      <c r="B31" s="10">
        <v>46079</v>
      </c>
      <c r="C31" s="9" t="s">
        <v>33</v>
      </c>
      <c r="D31" s="9" t="s">
        <v>34</v>
      </c>
      <c r="E31" s="17" t="s">
        <v>30</v>
      </c>
      <c r="F31" s="17" t="s">
        <v>26</v>
      </c>
      <c r="G31" s="18">
        <v>46091</v>
      </c>
      <c r="H31" s="17" t="s">
        <v>27</v>
      </c>
      <c r="I31" s="18">
        <v>46084</v>
      </c>
      <c r="J31" s="17">
        <f t="shared" si="0"/>
        <v>5</v>
      </c>
      <c r="K31" s="17" t="str">
        <f t="shared" si="1"/>
        <v>Não</v>
      </c>
      <c r="L31" s="17" t="str">
        <f t="shared" si="2"/>
        <v>fev</v>
      </c>
      <c r="M31" s="9" t="s">
        <v>62</v>
      </c>
    </row>
    <row r="32" spans="1:13">
      <c r="A32" s="9" t="s">
        <v>90</v>
      </c>
      <c r="B32" s="10">
        <v>46133</v>
      </c>
      <c r="C32" s="9" t="s">
        <v>28</v>
      </c>
      <c r="D32" s="9" t="s">
        <v>47</v>
      </c>
      <c r="E32" s="17" t="s">
        <v>43</v>
      </c>
      <c r="F32" s="17" t="s">
        <v>31</v>
      </c>
      <c r="G32" s="18">
        <v>46140</v>
      </c>
      <c r="H32" s="17" t="s">
        <v>27</v>
      </c>
      <c r="I32" s="18">
        <v>46138</v>
      </c>
      <c r="J32" s="17">
        <f t="shared" si="0"/>
        <v>5</v>
      </c>
      <c r="K32" s="17" t="str">
        <f t="shared" si="1"/>
        <v>Não</v>
      </c>
      <c r="L32" s="17" t="str">
        <f t="shared" si="2"/>
        <v>abr</v>
      </c>
      <c r="M32" s="9" t="s">
        <v>62</v>
      </c>
    </row>
    <row r="33" spans="1:13">
      <c r="A33" s="9" t="s">
        <v>91</v>
      </c>
      <c r="B33" s="10">
        <v>46097</v>
      </c>
      <c r="C33" s="9" t="s">
        <v>44</v>
      </c>
      <c r="D33" s="9" t="s">
        <v>42</v>
      </c>
      <c r="E33" s="17" t="s">
        <v>43</v>
      </c>
      <c r="F33" s="17" t="s">
        <v>36</v>
      </c>
      <c r="G33" s="18">
        <v>46101</v>
      </c>
      <c r="H33" s="17" t="s">
        <v>32</v>
      </c>
      <c r="I33" s="18"/>
      <c r="J33" s="17" t="str">
        <f t="shared" si="0"/>
        <v/>
      </c>
      <c r="K33" s="17" t="str">
        <f t="shared" si="1"/>
        <v>Sim</v>
      </c>
      <c r="L33" s="17" t="str">
        <f t="shared" si="2"/>
        <v>mar</v>
      </c>
      <c r="M33" s="9" t="s">
        <v>62</v>
      </c>
    </row>
    <row r="34" spans="1:13">
      <c r="A34" s="9" t="s">
        <v>92</v>
      </c>
      <c r="B34" s="10">
        <v>46094</v>
      </c>
      <c r="C34" s="9" t="s">
        <v>38</v>
      </c>
      <c r="D34" s="9" t="s">
        <v>24</v>
      </c>
      <c r="E34" s="17" t="s">
        <v>25</v>
      </c>
      <c r="F34" s="17" t="s">
        <v>36</v>
      </c>
      <c r="G34" s="18">
        <v>46098</v>
      </c>
      <c r="H34" s="17" t="s">
        <v>32</v>
      </c>
      <c r="I34" s="18"/>
      <c r="J34" s="17" t="str">
        <f t="shared" si="0"/>
        <v/>
      </c>
      <c r="K34" s="17" t="str">
        <f t="shared" si="1"/>
        <v>Sim</v>
      </c>
      <c r="L34" s="17" t="str">
        <f t="shared" si="2"/>
        <v>mar</v>
      </c>
      <c r="M34" s="9" t="s">
        <v>62</v>
      </c>
    </row>
    <row r="35" spans="1:13">
      <c r="A35" s="9" t="s">
        <v>93</v>
      </c>
      <c r="B35" s="10">
        <v>46074</v>
      </c>
      <c r="C35" s="9" t="s">
        <v>41</v>
      </c>
      <c r="D35" s="9" t="s">
        <v>42</v>
      </c>
      <c r="E35" s="17" t="s">
        <v>30</v>
      </c>
      <c r="F35" s="17" t="s">
        <v>36</v>
      </c>
      <c r="G35" s="18">
        <v>46078</v>
      </c>
      <c r="H35" s="17" t="s">
        <v>27</v>
      </c>
      <c r="I35" s="18">
        <v>46079</v>
      </c>
      <c r="J35" s="17">
        <f t="shared" si="0"/>
        <v>5</v>
      </c>
      <c r="K35" s="17" t="str">
        <f t="shared" si="1"/>
        <v>Sim</v>
      </c>
      <c r="L35" s="17" t="str">
        <f t="shared" si="2"/>
        <v>fev</v>
      </c>
      <c r="M35" s="9" t="s">
        <v>62</v>
      </c>
    </row>
    <row r="36" spans="1:13">
      <c r="A36" s="9" t="s">
        <v>94</v>
      </c>
      <c r="B36" s="10">
        <v>46134</v>
      </c>
      <c r="C36" s="9" t="s">
        <v>44</v>
      </c>
      <c r="D36" s="9" t="s">
        <v>24</v>
      </c>
      <c r="E36" s="17" t="s">
        <v>43</v>
      </c>
      <c r="F36" s="17" t="s">
        <v>31</v>
      </c>
      <c r="G36" s="18">
        <v>46141</v>
      </c>
      <c r="H36" s="17" t="s">
        <v>32</v>
      </c>
      <c r="I36" s="18"/>
      <c r="J36" s="17" t="str">
        <f t="shared" ref="J36:J63" si="3">IF(I36="","",I36-B36)</f>
        <v/>
      </c>
      <c r="K36" s="17" t="str">
        <f t="shared" ref="K36:K63" si="4">IF(H36="Concluída",IF(I36&gt;G36,"Sim","Não"),IF($P$2&gt;G36,"Sim","Não"))</f>
        <v>Sim</v>
      </c>
      <c r="L36" s="17" t="str">
        <f t="shared" ref="L36:L63" si="5">TEXT(B36,"mmm")</f>
        <v>abr</v>
      </c>
      <c r="M36" s="9" t="s">
        <v>62</v>
      </c>
    </row>
    <row r="37" spans="1:13">
      <c r="A37" s="9" t="s">
        <v>95</v>
      </c>
      <c r="B37" s="10">
        <v>46146</v>
      </c>
      <c r="C37" s="9" t="s">
        <v>33</v>
      </c>
      <c r="D37" s="9" t="s">
        <v>29</v>
      </c>
      <c r="E37" s="17" t="s">
        <v>25</v>
      </c>
      <c r="F37" s="17" t="s">
        <v>31</v>
      </c>
      <c r="G37" s="18">
        <v>46153</v>
      </c>
      <c r="H37" s="17" t="s">
        <v>27</v>
      </c>
      <c r="I37" s="18">
        <v>46147</v>
      </c>
      <c r="J37" s="17">
        <f t="shared" si="3"/>
        <v>1</v>
      </c>
      <c r="K37" s="17" t="str">
        <f t="shared" si="4"/>
        <v>Não</v>
      </c>
      <c r="L37" s="17" t="str">
        <f t="shared" si="5"/>
        <v>mai</v>
      </c>
      <c r="M37" s="9" t="s">
        <v>62</v>
      </c>
    </row>
    <row r="38" spans="1:13">
      <c r="A38" s="9" t="s">
        <v>96</v>
      </c>
      <c r="B38" s="10">
        <v>46042</v>
      </c>
      <c r="C38" s="9" t="s">
        <v>44</v>
      </c>
      <c r="D38" s="9" t="s">
        <v>29</v>
      </c>
      <c r="E38" s="17" t="s">
        <v>30</v>
      </c>
      <c r="F38" s="17" t="s">
        <v>31</v>
      </c>
      <c r="G38" s="18">
        <v>46049</v>
      </c>
      <c r="H38" s="17" t="s">
        <v>27</v>
      </c>
      <c r="I38" s="18">
        <v>46044</v>
      </c>
      <c r="J38" s="17">
        <f t="shared" si="3"/>
        <v>2</v>
      </c>
      <c r="K38" s="17" t="str">
        <f t="shared" si="4"/>
        <v>Não</v>
      </c>
      <c r="L38" s="17" t="str">
        <f t="shared" si="5"/>
        <v>jan</v>
      </c>
      <c r="M38" s="9" t="s">
        <v>62</v>
      </c>
    </row>
    <row r="39" spans="1:13">
      <c r="A39" s="9" t="s">
        <v>97</v>
      </c>
      <c r="B39" s="10">
        <v>46117</v>
      </c>
      <c r="C39" s="9" t="s">
        <v>23</v>
      </c>
      <c r="D39" s="9" t="s">
        <v>47</v>
      </c>
      <c r="E39" s="17" t="s">
        <v>40</v>
      </c>
      <c r="F39" s="17" t="s">
        <v>31</v>
      </c>
      <c r="G39" s="18">
        <v>46124</v>
      </c>
      <c r="H39" s="17" t="s">
        <v>32</v>
      </c>
      <c r="I39" s="18"/>
      <c r="J39" s="17" t="str">
        <f t="shared" si="3"/>
        <v/>
      </c>
      <c r="K39" s="17" t="str">
        <f t="shared" si="4"/>
        <v>Sim</v>
      </c>
      <c r="L39" s="17" t="str">
        <f t="shared" si="5"/>
        <v>abr</v>
      </c>
      <c r="M39" s="9" t="s">
        <v>62</v>
      </c>
    </row>
    <row r="40" spans="1:13">
      <c r="A40" s="9" t="s">
        <v>98</v>
      </c>
      <c r="B40" s="10">
        <v>46075</v>
      </c>
      <c r="C40" s="9" t="s">
        <v>38</v>
      </c>
      <c r="D40" s="9" t="s">
        <v>42</v>
      </c>
      <c r="E40" s="17" t="s">
        <v>43</v>
      </c>
      <c r="F40" s="17" t="s">
        <v>26</v>
      </c>
      <c r="G40" s="18">
        <v>46087</v>
      </c>
      <c r="H40" s="17" t="s">
        <v>27</v>
      </c>
      <c r="I40" s="18">
        <v>46088</v>
      </c>
      <c r="J40" s="17">
        <f t="shared" si="3"/>
        <v>13</v>
      </c>
      <c r="K40" s="17" t="str">
        <f t="shared" si="4"/>
        <v>Sim</v>
      </c>
      <c r="L40" s="17" t="str">
        <f t="shared" si="5"/>
        <v>fev</v>
      </c>
      <c r="M40" s="9" t="s">
        <v>62</v>
      </c>
    </row>
    <row r="41" spans="1:13">
      <c r="A41" s="9" t="s">
        <v>99</v>
      </c>
      <c r="B41" s="10">
        <v>46152</v>
      </c>
      <c r="C41" s="9" t="s">
        <v>44</v>
      </c>
      <c r="D41" s="9" t="s">
        <v>29</v>
      </c>
      <c r="E41" s="17" t="s">
        <v>35</v>
      </c>
      <c r="F41" s="17" t="s">
        <v>36</v>
      </c>
      <c r="G41" s="18">
        <v>46156</v>
      </c>
      <c r="H41" s="17" t="s">
        <v>27</v>
      </c>
      <c r="I41" s="18">
        <v>46154</v>
      </c>
      <c r="J41" s="17">
        <f t="shared" si="3"/>
        <v>2</v>
      </c>
      <c r="K41" s="17" t="str">
        <f t="shared" si="4"/>
        <v>Não</v>
      </c>
      <c r="L41" s="17" t="str">
        <f t="shared" si="5"/>
        <v>mai</v>
      </c>
      <c r="M41" s="9" t="s">
        <v>62</v>
      </c>
    </row>
    <row r="42" spans="1:13">
      <c r="A42" s="9" t="s">
        <v>100</v>
      </c>
      <c r="B42" s="10">
        <v>46054</v>
      </c>
      <c r="C42" s="9" t="s">
        <v>33</v>
      </c>
      <c r="D42" s="9" t="s">
        <v>39</v>
      </c>
      <c r="E42" s="17" t="s">
        <v>43</v>
      </c>
      <c r="F42" s="17" t="s">
        <v>31</v>
      </c>
      <c r="G42" s="18">
        <v>46061</v>
      </c>
      <c r="H42" s="17" t="s">
        <v>27</v>
      </c>
      <c r="I42" s="18">
        <v>46062</v>
      </c>
      <c r="J42" s="17">
        <f t="shared" si="3"/>
        <v>8</v>
      </c>
      <c r="K42" s="17" t="str">
        <f t="shared" si="4"/>
        <v>Sim</v>
      </c>
      <c r="L42" s="17" t="str">
        <f t="shared" si="5"/>
        <v>fev</v>
      </c>
      <c r="M42" s="9" t="s">
        <v>62</v>
      </c>
    </row>
    <row r="43" spans="1:13">
      <c r="A43" s="9" t="s">
        <v>101</v>
      </c>
      <c r="B43" s="10">
        <v>46039</v>
      </c>
      <c r="C43" s="9" t="s">
        <v>41</v>
      </c>
      <c r="D43" s="9" t="s">
        <v>47</v>
      </c>
      <c r="E43" s="17" t="s">
        <v>25</v>
      </c>
      <c r="F43" s="17" t="s">
        <v>31</v>
      </c>
      <c r="G43" s="18">
        <v>46046</v>
      </c>
      <c r="H43" s="17" t="s">
        <v>27</v>
      </c>
      <c r="I43" s="18">
        <v>46047</v>
      </c>
      <c r="J43" s="17">
        <f t="shared" si="3"/>
        <v>8</v>
      </c>
      <c r="K43" s="17" t="str">
        <f t="shared" si="4"/>
        <v>Sim</v>
      </c>
      <c r="L43" s="17" t="str">
        <f t="shared" si="5"/>
        <v>jan</v>
      </c>
      <c r="M43" s="9" t="s">
        <v>62</v>
      </c>
    </row>
    <row r="44" spans="1:13">
      <c r="A44" s="9" t="s">
        <v>102</v>
      </c>
      <c r="B44" s="10">
        <v>46140</v>
      </c>
      <c r="C44" s="9" t="s">
        <v>38</v>
      </c>
      <c r="D44" s="9" t="s">
        <v>39</v>
      </c>
      <c r="E44" s="17" t="s">
        <v>30</v>
      </c>
      <c r="F44" s="17" t="s">
        <v>26</v>
      </c>
      <c r="G44" s="18">
        <v>46152</v>
      </c>
      <c r="H44" s="17" t="s">
        <v>27</v>
      </c>
      <c r="I44" s="18">
        <v>46144</v>
      </c>
      <c r="J44" s="17">
        <f t="shared" si="3"/>
        <v>4</v>
      </c>
      <c r="K44" s="17" t="str">
        <f t="shared" si="4"/>
        <v>Não</v>
      </c>
      <c r="L44" s="17" t="str">
        <f t="shared" si="5"/>
        <v>abr</v>
      </c>
      <c r="M44" s="9" t="s">
        <v>62</v>
      </c>
    </row>
    <row r="45" spans="1:13">
      <c r="A45" s="9" t="s">
        <v>103</v>
      </c>
      <c r="B45" s="10">
        <v>46172</v>
      </c>
      <c r="C45" s="9" t="s">
        <v>44</v>
      </c>
      <c r="D45" s="9" t="s">
        <v>39</v>
      </c>
      <c r="E45" s="17" t="s">
        <v>25</v>
      </c>
      <c r="F45" s="17" t="s">
        <v>26</v>
      </c>
      <c r="G45" s="18">
        <v>46184</v>
      </c>
      <c r="H45" s="17" t="s">
        <v>32</v>
      </c>
      <c r="I45" s="18"/>
      <c r="J45" s="17" t="str">
        <f t="shared" si="3"/>
        <v/>
      </c>
      <c r="K45" s="17" t="str">
        <f t="shared" si="4"/>
        <v>Sim</v>
      </c>
      <c r="L45" s="17" t="str">
        <f t="shared" si="5"/>
        <v>mai</v>
      </c>
      <c r="M45" s="9" t="s">
        <v>62</v>
      </c>
    </row>
    <row r="46" spans="1:13">
      <c r="A46" s="9" t="s">
        <v>104</v>
      </c>
      <c r="B46" s="10">
        <v>46192</v>
      </c>
      <c r="C46" s="9" t="s">
        <v>28</v>
      </c>
      <c r="D46" s="9" t="s">
        <v>47</v>
      </c>
      <c r="E46" s="17" t="s">
        <v>25</v>
      </c>
      <c r="F46" s="17" t="s">
        <v>26</v>
      </c>
      <c r="G46" s="18">
        <v>46204</v>
      </c>
      <c r="H46" s="17" t="s">
        <v>27</v>
      </c>
      <c r="I46" s="18">
        <v>46199</v>
      </c>
      <c r="J46" s="17">
        <f t="shared" si="3"/>
        <v>7</v>
      </c>
      <c r="K46" s="17" t="str">
        <f t="shared" si="4"/>
        <v>Não</v>
      </c>
      <c r="L46" s="17" t="str">
        <f t="shared" si="5"/>
        <v>jun</v>
      </c>
      <c r="M46" s="9" t="s">
        <v>62</v>
      </c>
    </row>
    <row r="47" spans="1:13">
      <c r="A47" s="9" t="s">
        <v>105</v>
      </c>
      <c r="B47" s="10">
        <v>46139</v>
      </c>
      <c r="C47" s="9" t="s">
        <v>38</v>
      </c>
      <c r="D47" s="9" t="s">
        <v>39</v>
      </c>
      <c r="E47" s="17" t="s">
        <v>35</v>
      </c>
      <c r="F47" s="17" t="s">
        <v>26</v>
      </c>
      <c r="G47" s="18">
        <v>46151</v>
      </c>
      <c r="H47" s="17" t="s">
        <v>27</v>
      </c>
      <c r="I47" s="18">
        <v>46151</v>
      </c>
      <c r="J47" s="17">
        <f t="shared" si="3"/>
        <v>12</v>
      </c>
      <c r="K47" s="17" t="str">
        <f t="shared" si="4"/>
        <v>Não</v>
      </c>
      <c r="L47" s="17" t="str">
        <f t="shared" si="5"/>
        <v>abr</v>
      </c>
      <c r="M47" s="9" t="s">
        <v>62</v>
      </c>
    </row>
    <row r="48" spans="1:13">
      <c r="A48" s="9" t="s">
        <v>106</v>
      </c>
      <c r="B48" s="10">
        <v>46186</v>
      </c>
      <c r="C48" s="9" t="s">
        <v>28</v>
      </c>
      <c r="D48" s="9" t="s">
        <v>46</v>
      </c>
      <c r="E48" s="17" t="s">
        <v>35</v>
      </c>
      <c r="F48" s="17" t="s">
        <v>31</v>
      </c>
      <c r="G48" s="18">
        <v>46193</v>
      </c>
      <c r="H48" s="19" t="s">
        <v>37</v>
      </c>
      <c r="I48" s="18"/>
      <c r="J48" s="17" t="str">
        <f t="shared" si="3"/>
        <v/>
      </c>
      <c r="K48" s="17" t="str">
        <f t="shared" si="4"/>
        <v>Sim</v>
      </c>
      <c r="L48" s="17" t="str">
        <f t="shared" si="5"/>
        <v>jun</v>
      </c>
      <c r="M48" s="9" t="s">
        <v>62</v>
      </c>
    </row>
    <row r="49" spans="1:13">
      <c r="A49" s="9" t="s">
        <v>107</v>
      </c>
      <c r="B49" s="10">
        <v>46142</v>
      </c>
      <c r="C49" s="9" t="s">
        <v>41</v>
      </c>
      <c r="D49" s="9" t="s">
        <v>24</v>
      </c>
      <c r="E49" s="17" t="s">
        <v>35</v>
      </c>
      <c r="F49" s="17" t="s">
        <v>26</v>
      </c>
      <c r="G49" s="18">
        <v>46154</v>
      </c>
      <c r="H49" s="17" t="s">
        <v>27</v>
      </c>
      <c r="I49" s="18">
        <v>46157</v>
      </c>
      <c r="J49" s="17">
        <f t="shared" si="3"/>
        <v>15</v>
      </c>
      <c r="K49" s="17" t="str">
        <f t="shared" si="4"/>
        <v>Sim</v>
      </c>
      <c r="L49" s="17" t="str">
        <f t="shared" si="5"/>
        <v>abr</v>
      </c>
      <c r="M49" s="9" t="s">
        <v>62</v>
      </c>
    </row>
    <row r="50" spans="1:13">
      <c r="A50" s="9" t="s">
        <v>108</v>
      </c>
      <c r="B50" s="10">
        <v>46187</v>
      </c>
      <c r="C50" s="9" t="s">
        <v>33</v>
      </c>
      <c r="D50" s="9" t="s">
        <v>47</v>
      </c>
      <c r="E50" s="17" t="s">
        <v>43</v>
      </c>
      <c r="F50" s="17" t="s">
        <v>31</v>
      </c>
      <c r="G50" s="18">
        <v>46194</v>
      </c>
      <c r="H50" s="17" t="s">
        <v>27</v>
      </c>
      <c r="I50" s="18">
        <v>46197</v>
      </c>
      <c r="J50" s="17">
        <f t="shared" si="3"/>
        <v>10</v>
      </c>
      <c r="K50" s="17" t="str">
        <f t="shared" si="4"/>
        <v>Sim</v>
      </c>
      <c r="L50" s="17" t="str">
        <f t="shared" si="5"/>
        <v>jun</v>
      </c>
      <c r="M50" s="9" t="s">
        <v>62</v>
      </c>
    </row>
    <row r="51" spans="1:13">
      <c r="A51" s="9" t="s">
        <v>109</v>
      </c>
      <c r="B51" s="10">
        <v>46197</v>
      </c>
      <c r="C51" s="9" t="s">
        <v>23</v>
      </c>
      <c r="D51" s="9" t="s">
        <v>45</v>
      </c>
      <c r="E51" s="17" t="s">
        <v>40</v>
      </c>
      <c r="F51" s="17" t="s">
        <v>31</v>
      </c>
      <c r="G51" s="18">
        <v>46204</v>
      </c>
      <c r="H51" s="17" t="s">
        <v>32</v>
      </c>
      <c r="I51" s="18"/>
      <c r="J51" s="17" t="str">
        <f t="shared" si="3"/>
        <v/>
      </c>
      <c r="K51" s="17" t="str">
        <f t="shared" si="4"/>
        <v>Não</v>
      </c>
      <c r="L51" s="17" t="str">
        <f t="shared" si="5"/>
        <v>jun</v>
      </c>
      <c r="M51" s="9" t="s">
        <v>62</v>
      </c>
    </row>
    <row r="52" spans="1:13">
      <c r="A52" s="9" t="s">
        <v>110</v>
      </c>
      <c r="B52" s="10">
        <v>46029</v>
      </c>
      <c r="C52" s="9" t="s">
        <v>33</v>
      </c>
      <c r="D52" s="9" t="s">
        <v>34</v>
      </c>
      <c r="E52" s="17" t="s">
        <v>35</v>
      </c>
      <c r="F52" s="17" t="s">
        <v>36</v>
      </c>
      <c r="G52" s="18">
        <v>46033</v>
      </c>
      <c r="H52" s="17" t="s">
        <v>27</v>
      </c>
      <c r="I52" s="18">
        <v>46031</v>
      </c>
      <c r="J52" s="17">
        <f t="shared" si="3"/>
        <v>2</v>
      </c>
      <c r="K52" s="17" t="str">
        <f t="shared" si="4"/>
        <v>Não</v>
      </c>
      <c r="L52" s="17" t="str">
        <f t="shared" si="5"/>
        <v>jan</v>
      </c>
      <c r="M52" s="9" t="s">
        <v>62</v>
      </c>
    </row>
    <row r="53" spans="1:13">
      <c r="A53" s="9" t="s">
        <v>111</v>
      </c>
      <c r="B53" s="10">
        <v>46158</v>
      </c>
      <c r="C53" s="9" t="s">
        <v>23</v>
      </c>
      <c r="D53" s="9" t="s">
        <v>45</v>
      </c>
      <c r="E53" s="17" t="s">
        <v>40</v>
      </c>
      <c r="F53" s="17" t="s">
        <v>31</v>
      </c>
      <c r="G53" s="18">
        <v>46165</v>
      </c>
      <c r="H53" s="17" t="s">
        <v>32</v>
      </c>
      <c r="I53" s="18"/>
      <c r="J53" s="17" t="str">
        <f t="shared" si="3"/>
        <v/>
      </c>
      <c r="K53" s="17" t="str">
        <f t="shared" si="4"/>
        <v>Sim</v>
      </c>
      <c r="L53" s="17" t="str">
        <f t="shared" si="5"/>
        <v>mai</v>
      </c>
      <c r="M53" s="9" t="s">
        <v>62</v>
      </c>
    </row>
    <row r="54" spans="1:13">
      <c r="A54" s="9" t="s">
        <v>112</v>
      </c>
      <c r="B54" s="10">
        <v>46030</v>
      </c>
      <c r="C54" s="9" t="s">
        <v>28</v>
      </c>
      <c r="D54" s="9" t="s">
        <v>47</v>
      </c>
      <c r="E54" s="17" t="s">
        <v>40</v>
      </c>
      <c r="F54" s="17" t="s">
        <v>26</v>
      </c>
      <c r="G54" s="18">
        <v>46042</v>
      </c>
      <c r="H54" s="17" t="s">
        <v>27</v>
      </c>
      <c r="I54" s="18">
        <v>46039</v>
      </c>
      <c r="J54" s="17">
        <f t="shared" si="3"/>
        <v>9</v>
      </c>
      <c r="K54" s="17" t="str">
        <f t="shared" si="4"/>
        <v>Não</v>
      </c>
      <c r="L54" s="17" t="str">
        <f t="shared" si="5"/>
        <v>jan</v>
      </c>
      <c r="M54" s="9" t="s">
        <v>62</v>
      </c>
    </row>
    <row r="55" spans="1:13">
      <c r="A55" s="9" t="s">
        <v>113</v>
      </c>
      <c r="B55" s="10">
        <v>46053</v>
      </c>
      <c r="C55" s="9" t="s">
        <v>38</v>
      </c>
      <c r="D55" s="9" t="s">
        <v>46</v>
      </c>
      <c r="E55" s="17" t="s">
        <v>35</v>
      </c>
      <c r="F55" s="17" t="s">
        <v>26</v>
      </c>
      <c r="G55" s="18">
        <v>46065</v>
      </c>
      <c r="H55" s="17" t="s">
        <v>27</v>
      </c>
      <c r="I55" s="18">
        <v>46063</v>
      </c>
      <c r="J55" s="17">
        <f t="shared" si="3"/>
        <v>10</v>
      </c>
      <c r="K55" s="17" t="str">
        <f t="shared" si="4"/>
        <v>Não</v>
      </c>
      <c r="L55" s="17" t="str">
        <f t="shared" si="5"/>
        <v>jan</v>
      </c>
      <c r="M55" s="9" t="s">
        <v>62</v>
      </c>
    </row>
    <row r="56" spans="1:13">
      <c r="A56" s="9" t="s">
        <v>114</v>
      </c>
      <c r="B56" s="10">
        <v>46102</v>
      </c>
      <c r="C56" s="9" t="s">
        <v>38</v>
      </c>
      <c r="D56" s="9" t="s">
        <v>46</v>
      </c>
      <c r="E56" s="17" t="s">
        <v>43</v>
      </c>
      <c r="F56" s="17" t="s">
        <v>26</v>
      </c>
      <c r="G56" s="18">
        <v>46114</v>
      </c>
      <c r="H56" s="17" t="s">
        <v>27</v>
      </c>
      <c r="I56" s="18">
        <v>46105</v>
      </c>
      <c r="J56" s="17">
        <f t="shared" si="3"/>
        <v>3</v>
      </c>
      <c r="K56" s="17" t="str">
        <f t="shared" si="4"/>
        <v>Não</v>
      </c>
      <c r="L56" s="17" t="str">
        <f t="shared" si="5"/>
        <v>mar</v>
      </c>
      <c r="M56" s="9" t="s">
        <v>62</v>
      </c>
    </row>
    <row r="57" spans="1:13">
      <c r="A57" s="9" t="s">
        <v>115</v>
      </c>
      <c r="B57" s="10">
        <v>46189</v>
      </c>
      <c r="C57" s="9" t="s">
        <v>28</v>
      </c>
      <c r="D57" s="9" t="s">
        <v>34</v>
      </c>
      <c r="E57" s="17" t="s">
        <v>30</v>
      </c>
      <c r="F57" s="17" t="s">
        <v>31</v>
      </c>
      <c r="G57" s="18">
        <v>46196</v>
      </c>
      <c r="H57" s="17" t="s">
        <v>27</v>
      </c>
      <c r="I57" s="18">
        <v>46195</v>
      </c>
      <c r="J57" s="17">
        <f t="shared" si="3"/>
        <v>6</v>
      </c>
      <c r="K57" s="17" t="str">
        <f t="shared" si="4"/>
        <v>Não</v>
      </c>
      <c r="L57" s="17" t="str">
        <f t="shared" si="5"/>
        <v>jun</v>
      </c>
      <c r="M57" s="9" t="s">
        <v>62</v>
      </c>
    </row>
    <row r="58" spans="1:13">
      <c r="A58" s="9" t="s">
        <v>116</v>
      </c>
      <c r="B58" s="10">
        <v>46164</v>
      </c>
      <c r="C58" s="9" t="s">
        <v>38</v>
      </c>
      <c r="D58" s="9" t="s">
        <v>29</v>
      </c>
      <c r="E58" s="17" t="s">
        <v>30</v>
      </c>
      <c r="F58" s="17" t="s">
        <v>31</v>
      </c>
      <c r="G58" s="18">
        <v>46171</v>
      </c>
      <c r="H58" s="17" t="s">
        <v>32</v>
      </c>
      <c r="I58" s="18"/>
      <c r="J58" s="17" t="str">
        <f t="shared" si="3"/>
        <v/>
      </c>
      <c r="K58" s="17" t="str">
        <f t="shared" si="4"/>
        <v>Sim</v>
      </c>
      <c r="L58" s="17" t="str">
        <f t="shared" si="5"/>
        <v>mai</v>
      </c>
      <c r="M58" s="9" t="s">
        <v>62</v>
      </c>
    </row>
    <row r="59" spans="1:13">
      <c r="A59" s="9" t="s">
        <v>117</v>
      </c>
      <c r="B59" s="10">
        <v>46112</v>
      </c>
      <c r="C59" s="9" t="s">
        <v>44</v>
      </c>
      <c r="D59" s="9" t="s">
        <v>46</v>
      </c>
      <c r="E59" s="17" t="s">
        <v>40</v>
      </c>
      <c r="F59" s="17" t="s">
        <v>26</v>
      </c>
      <c r="G59" s="18">
        <v>46124</v>
      </c>
      <c r="H59" s="17" t="s">
        <v>32</v>
      </c>
      <c r="I59" s="18"/>
      <c r="J59" s="17" t="str">
        <f t="shared" si="3"/>
        <v/>
      </c>
      <c r="K59" s="17" t="str">
        <f t="shared" si="4"/>
        <v>Sim</v>
      </c>
      <c r="L59" s="17" t="str">
        <f t="shared" si="5"/>
        <v>mar</v>
      </c>
      <c r="M59" s="9" t="s">
        <v>62</v>
      </c>
    </row>
    <row r="60" spans="1:13">
      <c r="A60" s="9" t="s">
        <v>118</v>
      </c>
      <c r="B60" s="10">
        <v>46107</v>
      </c>
      <c r="C60" s="9" t="s">
        <v>38</v>
      </c>
      <c r="D60" s="9" t="s">
        <v>47</v>
      </c>
      <c r="E60" s="17" t="s">
        <v>35</v>
      </c>
      <c r="F60" s="17" t="s">
        <v>31</v>
      </c>
      <c r="G60" s="18">
        <v>46114</v>
      </c>
      <c r="H60" s="17" t="s">
        <v>32</v>
      </c>
      <c r="I60" s="18"/>
      <c r="J60" s="17" t="str">
        <f t="shared" si="3"/>
        <v/>
      </c>
      <c r="K60" s="17" t="str">
        <f t="shared" si="4"/>
        <v>Sim</v>
      </c>
      <c r="L60" s="17" t="str">
        <f t="shared" si="5"/>
        <v>mar</v>
      </c>
      <c r="M60" s="9" t="s">
        <v>62</v>
      </c>
    </row>
    <row r="61" spans="1:13">
      <c r="A61" s="9" t="s">
        <v>119</v>
      </c>
      <c r="B61" s="10">
        <v>46187</v>
      </c>
      <c r="C61" s="9" t="s">
        <v>41</v>
      </c>
      <c r="D61" s="9" t="s">
        <v>42</v>
      </c>
      <c r="E61" s="17" t="s">
        <v>40</v>
      </c>
      <c r="F61" s="17" t="s">
        <v>26</v>
      </c>
      <c r="G61" s="18">
        <v>46199</v>
      </c>
      <c r="H61" s="17" t="s">
        <v>27</v>
      </c>
      <c r="I61" s="18">
        <v>46193</v>
      </c>
      <c r="J61" s="17">
        <f t="shared" si="3"/>
        <v>6</v>
      </c>
      <c r="K61" s="17" t="str">
        <f t="shared" si="4"/>
        <v>Não</v>
      </c>
      <c r="L61" s="17" t="str">
        <f t="shared" si="5"/>
        <v>jun</v>
      </c>
      <c r="M61" s="9" t="s">
        <v>62</v>
      </c>
    </row>
    <row r="62" spans="1:13">
      <c r="A62" s="9" t="s">
        <v>120</v>
      </c>
      <c r="B62" s="10">
        <v>46100</v>
      </c>
      <c r="C62" s="9" t="s">
        <v>44</v>
      </c>
      <c r="D62" s="9" t="s">
        <v>24</v>
      </c>
      <c r="E62" s="17" t="s">
        <v>35</v>
      </c>
      <c r="F62" s="17" t="s">
        <v>31</v>
      </c>
      <c r="G62" s="18">
        <v>46107</v>
      </c>
      <c r="H62" s="17" t="s">
        <v>27</v>
      </c>
      <c r="I62" s="18">
        <v>46103</v>
      </c>
      <c r="J62" s="17">
        <f t="shared" si="3"/>
        <v>3</v>
      </c>
      <c r="K62" s="17" t="str">
        <f t="shared" si="4"/>
        <v>Não</v>
      </c>
      <c r="L62" s="17" t="str">
        <f t="shared" si="5"/>
        <v>mar</v>
      </c>
      <c r="M62" s="9" t="s">
        <v>62</v>
      </c>
    </row>
    <row r="63" spans="1:13">
      <c r="A63" s="9" t="s">
        <v>121</v>
      </c>
      <c r="B63" s="10">
        <v>46195</v>
      </c>
      <c r="C63" s="9" t="s">
        <v>28</v>
      </c>
      <c r="D63" s="9" t="s">
        <v>39</v>
      </c>
      <c r="E63" s="17" t="s">
        <v>40</v>
      </c>
      <c r="F63" s="17" t="s">
        <v>31</v>
      </c>
      <c r="G63" s="18">
        <v>46202</v>
      </c>
      <c r="H63" s="17" t="s">
        <v>27</v>
      </c>
      <c r="I63" s="18">
        <v>46205</v>
      </c>
      <c r="J63" s="17">
        <f t="shared" si="3"/>
        <v>10</v>
      </c>
      <c r="K63" s="17" t="str">
        <f t="shared" si="4"/>
        <v>Sim</v>
      </c>
      <c r="L63" s="17" t="str">
        <f t="shared" si="5"/>
        <v>jun</v>
      </c>
      <c r="M63" s="9" t="s">
        <v>62</v>
      </c>
    </row>
  </sheetData>
  <mergeCells count="1">
    <mergeCell ref="A1:M1"/>
  </mergeCells>
  <conditionalFormatting sqref="K4:K63">
    <cfRule type="expression" dxfId="27" priority="1">
      <formula>K4="Sim"</formula>
    </cfRule>
  </conditionalFormatting>
  <conditionalFormatting sqref="H4:H63">
    <cfRule type="expression" dxfId="26" priority="2">
      <formula>H4="Concluída"</formula>
    </cfRule>
    <cfRule type="expression" dxfId="25" priority="3">
      <formula>H4="Em andamento"</formula>
    </cfRule>
  </conditionalFormatting>
  <dataValidations count="5">
    <dataValidation type="list" sqref="C4:C100">
      <formula1>"Financeiro,RH,Comercial,Operações,TI,Diretoria"</formula1>
    </dataValidation>
    <dataValidation type="list" sqref="D4:D100">
      <formula1>"Compra de material,Atualização cadastral,Emissão de documento,Organização de arquivo,Apoio a reunião,Cadastro em sistema,Relatório administrativo,Solicitação de pagamento"</formula1>
    </dataValidation>
    <dataValidation type="list" sqref="E4:E100">
      <formula1>"Ana Lima,Bruno Souza,Carla Mendes,Diego Alves,Elisa Rocha"</formula1>
    </dataValidation>
    <dataValidation type="list" sqref="F4:F100">
      <formula1>"Baixa,Média,Alta"</formula1>
    </dataValidation>
    <dataValidation type="list" sqref="H4:H100">
      <formula1>"Concluída,Em andamento,Pendente"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selection activeCell="F9" sqref="F9"/>
    </sheetView>
  </sheetViews>
  <sheetFormatPr defaultRowHeight="14.25"/>
  <cols>
    <col min="1" max="1" width="23" customWidth="1"/>
    <col min="2" max="3" width="16" customWidth="1"/>
    <col min="4" max="4" width="25" customWidth="1"/>
    <col min="5" max="14" width="16" customWidth="1"/>
  </cols>
  <sheetData>
    <row r="1" spans="1:14" ht="30" customHeight="1">
      <c r="A1" s="12" t="s">
        <v>122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>
      <c r="A3" s="15" t="s">
        <v>123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spans="1:14" ht="18">
      <c r="A5" s="5" t="s">
        <v>124</v>
      </c>
      <c r="B5" s="6">
        <f>COUNTA('Base Administrativa'!A4:A63)</f>
        <v>60</v>
      </c>
      <c r="D5" s="5" t="s">
        <v>125</v>
      </c>
      <c r="E5" s="6">
        <f>COUNTIF('Base Administrativa'!H4:H63,"Concluída")</f>
        <v>38</v>
      </c>
      <c r="G5" s="5" t="s">
        <v>126</v>
      </c>
      <c r="H5" s="6">
        <f>COUNTIF('Base Administrativa'!H4:H63,"Em andamento")</f>
        <v>15</v>
      </c>
      <c r="J5" s="5" t="s">
        <v>127</v>
      </c>
      <c r="K5" s="6">
        <f>COUNTIF('Base Administrativa'!H4:H63,"Pendente")</f>
        <v>7</v>
      </c>
    </row>
    <row r="8" spans="1:14" ht="30">
      <c r="A8" s="5" t="s">
        <v>128</v>
      </c>
      <c r="B8" s="6">
        <f>COUNTIF('Base Administrativa'!K4:K63,"Sim")</f>
        <v>32</v>
      </c>
      <c r="D8" s="5" t="s">
        <v>129</v>
      </c>
      <c r="E8" s="7">
        <f>IFERROR(E5/B5,0)</f>
        <v>0.6333333333333333</v>
      </c>
      <c r="G8" s="5" t="s">
        <v>130</v>
      </c>
      <c r="H8" s="8">
        <f>IFERROR(SUM('Base Administrativa'!J4:J63)/COUNT('Base Administrativa'!J4:J63),0)</f>
        <v>6.3684210526315788</v>
      </c>
      <c r="J8" s="5" t="s">
        <v>131</v>
      </c>
      <c r="K8" s="6">
        <f>COUNTIF('Base Administrativa'!F4:F63,"Alta")</f>
        <v>12</v>
      </c>
    </row>
    <row r="12" spans="1:14" ht="15">
      <c r="A12" s="3" t="s">
        <v>132</v>
      </c>
      <c r="B12" s="3" t="s">
        <v>133</v>
      </c>
      <c r="D12" s="3" t="s">
        <v>134</v>
      </c>
      <c r="E12" s="3" t="s">
        <v>133</v>
      </c>
    </row>
    <row r="13" spans="1:14">
      <c r="A13" t="s">
        <v>23</v>
      </c>
      <c r="B13">
        <f>COUNTIF('Base Administrativa'!$C$4:$C$63,A13)</f>
        <v>10</v>
      </c>
      <c r="D13" t="s">
        <v>24</v>
      </c>
      <c r="E13" s="16">
        <f>COUNTIF('Base Administrativa'!$D$4:$D$63,D13)</f>
        <v>7</v>
      </c>
    </row>
    <row r="14" spans="1:14">
      <c r="A14" t="s">
        <v>28</v>
      </c>
      <c r="B14">
        <f>COUNTIF('Base Administrativa'!$C$4:$C$63,A14)</f>
        <v>9</v>
      </c>
      <c r="D14" t="s">
        <v>29</v>
      </c>
      <c r="E14" s="16">
        <f>COUNTIF('Base Administrativa'!$D$4:$D$63,D14)</f>
        <v>6</v>
      </c>
    </row>
    <row r="15" spans="1:14">
      <c r="A15" t="s">
        <v>33</v>
      </c>
      <c r="B15">
        <f>COUNTIF('Base Administrativa'!$C$4:$C$63,A15)</f>
        <v>7</v>
      </c>
      <c r="D15" t="s">
        <v>34</v>
      </c>
      <c r="E15" s="16">
        <f>COUNTIF('Base Administrativa'!$D$4:$D$63,D15)</f>
        <v>8</v>
      </c>
    </row>
    <row r="16" spans="1:14">
      <c r="A16" t="s">
        <v>38</v>
      </c>
      <c r="B16">
        <f>COUNTIF('Base Administrativa'!$C$4:$C$63,A16)</f>
        <v>10</v>
      </c>
      <c r="D16" t="s">
        <v>39</v>
      </c>
      <c r="E16" s="16">
        <f>COUNTIF('Base Administrativa'!$D$4:$D$63,D16)</f>
        <v>9</v>
      </c>
    </row>
    <row r="17" spans="1:5">
      <c r="A17" t="s">
        <v>41</v>
      </c>
      <c r="B17">
        <f>COUNTIF('Base Administrativa'!$C$4:$C$63,A17)</f>
        <v>11</v>
      </c>
      <c r="D17" t="s">
        <v>42</v>
      </c>
      <c r="E17" s="16">
        <f>COUNTIF('Base Administrativa'!$D$4:$D$63,D17)</f>
        <v>8</v>
      </c>
    </row>
    <row r="18" spans="1:5">
      <c r="A18" t="s">
        <v>44</v>
      </c>
      <c r="B18">
        <f>COUNTIF('Base Administrativa'!$C$4:$C$63,A18)</f>
        <v>13</v>
      </c>
      <c r="D18" t="s">
        <v>45</v>
      </c>
      <c r="E18" s="16">
        <f>COUNTIF('Base Administrativa'!$D$4:$D$63,D18)</f>
        <v>5</v>
      </c>
    </row>
    <row r="19" spans="1:5">
      <c r="D19" t="s">
        <v>46</v>
      </c>
      <c r="E19" s="16">
        <f>COUNTIF('Base Administrativa'!$D$4:$D$63,D19)</f>
        <v>8</v>
      </c>
    </row>
    <row r="20" spans="1:5">
      <c r="D20" t="s">
        <v>47</v>
      </c>
      <c r="E20" s="16">
        <f>COUNTIF('Base Administrativa'!$D$4:$D$63,D20)</f>
        <v>9</v>
      </c>
    </row>
    <row r="22" spans="1:5" ht="15">
      <c r="A22" s="3" t="s">
        <v>22</v>
      </c>
      <c r="B22" s="3" t="s">
        <v>133</v>
      </c>
      <c r="D22" s="3" t="s">
        <v>60</v>
      </c>
      <c r="E22" s="3" t="s">
        <v>135</v>
      </c>
    </row>
    <row r="23" spans="1:5">
      <c r="A23" t="s">
        <v>27</v>
      </c>
      <c r="B23">
        <f>COUNTIF('Base Administrativa'!$H$4:$H$63,A23)</f>
        <v>38</v>
      </c>
      <c r="D23" t="s">
        <v>136</v>
      </c>
      <c r="E23">
        <f>COUNTIF('Base Administrativa'!$L$4:$L$63,D23)</f>
        <v>14</v>
      </c>
    </row>
    <row r="24" spans="1:5">
      <c r="A24" t="s">
        <v>32</v>
      </c>
      <c r="B24">
        <f>COUNTIF('Base Administrativa'!$H$4:$H$63,A24)</f>
        <v>15</v>
      </c>
      <c r="D24" t="s">
        <v>137</v>
      </c>
      <c r="E24">
        <f>COUNTIF('Base Administrativa'!$L$4:$L$63,D24)</f>
        <v>9</v>
      </c>
    </row>
    <row r="25" spans="1:5">
      <c r="A25" t="s">
        <v>37</v>
      </c>
      <c r="B25">
        <f>COUNTIF('Base Administrativa'!$H$4:$H$63,A25)</f>
        <v>7</v>
      </c>
      <c r="D25" t="s">
        <v>138</v>
      </c>
      <c r="E25">
        <f>COUNTIF('Base Administrativa'!$L$4:$L$63,D25)</f>
        <v>8</v>
      </c>
    </row>
    <row r="26" spans="1:5">
      <c r="D26" t="s">
        <v>139</v>
      </c>
      <c r="E26">
        <f>COUNTIF('Base Administrativa'!$L$4:$L$63,D26)</f>
        <v>10</v>
      </c>
    </row>
    <row r="27" spans="1:5">
      <c r="D27" t="s">
        <v>140</v>
      </c>
      <c r="E27">
        <f>COUNTIF('Base Administrativa'!$L$4:$L$63,D27)</f>
        <v>9</v>
      </c>
    </row>
    <row r="28" spans="1:5">
      <c r="D28" t="s">
        <v>141</v>
      </c>
      <c r="E28">
        <f>COUNTIF('Base Administrativa'!$L$4:$L$63,D28)</f>
        <v>10</v>
      </c>
    </row>
  </sheetData>
  <mergeCells count="2">
    <mergeCell ref="A1:N1"/>
    <mergeCell ref="A3:N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sqref="A1:F1"/>
    </sheetView>
  </sheetViews>
  <sheetFormatPr defaultRowHeight="14.25"/>
  <cols>
    <col min="1" max="1" width="25" customWidth="1"/>
    <col min="2" max="2" width="38" customWidth="1"/>
    <col min="3" max="5" width="25" customWidth="1"/>
    <col min="6" max="6" width="34" customWidth="1"/>
  </cols>
  <sheetData>
    <row r="1" spans="1:6" ht="30" customHeight="1">
      <c r="A1" s="12" t="s">
        <v>142</v>
      </c>
      <c r="B1" s="12"/>
      <c r="C1" s="12"/>
      <c r="D1" s="12"/>
      <c r="E1" s="12"/>
      <c r="F1" s="12"/>
    </row>
    <row r="3" spans="1:6" ht="15">
      <c r="A3" s="3" t="s">
        <v>143</v>
      </c>
      <c r="B3" s="3" t="s">
        <v>144</v>
      </c>
      <c r="C3" s="3" t="s">
        <v>145</v>
      </c>
      <c r="D3" s="3" t="s">
        <v>146</v>
      </c>
      <c r="E3" s="3" t="s">
        <v>2</v>
      </c>
      <c r="F3" s="3" t="s">
        <v>16</v>
      </c>
    </row>
    <row r="4" spans="1:6" ht="28.5">
      <c r="A4" s="2" t="s">
        <v>147</v>
      </c>
      <c r="B4" s="2" t="s">
        <v>148</v>
      </c>
      <c r="C4" s="2" t="s">
        <v>149</v>
      </c>
      <c r="D4" s="2" t="s">
        <v>150</v>
      </c>
      <c r="E4" s="2" t="s">
        <v>151</v>
      </c>
      <c r="F4" s="2" t="s">
        <v>152</v>
      </c>
    </row>
    <row r="5" spans="1:6" ht="42.75">
      <c r="A5" s="2" t="s">
        <v>153</v>
      </c>
      <c r="B5" s="2" t="s">
        <v>154</v>
      </c>
      <c r="C5" s="2" t="s">
        <v>155</v>
      </c>
      <c r="D5" s="2" t="s">
        <v>156</v>
      </c>
      <c r="E5" s="2" t="s">
        <v>157</v>
      </c>
      <c r="F5" s="2" t="s">
        <v>158</v>
      </c>
    </row>
    <row r="6" spans="1:6">
      <c r="A6" s="2" t="s">
        <v>159</v>
      </c>
      <c r="B6" s="2" t="s">
        <v>160</v>
      </c>
      <c r="C6" s="2" t="s">
        <v>161</v>
      </c>
      <c r="D6" s="2" t="s">
        <v>162</v>
      </c>
      <c r="E6" s="2" t="s">
        <v>163</v>
      </c>
      <c r="F6" s="2" t="s">
        <v>164</v>
      </c>
    </row>
    <row r="7" spans="1:6" ht="28.5">
      <c r="A7" s="2" t="s">
        <v>165</v>
      </c>
      <c r="B7" s="2" t="s">
        <v>166</v>
      </c>
      <c r="C7" s="2" t="s">
        <v>167</v>
      </c>
      <c r="D7" s="2" t="s">
        <v>168</v>
      </c>
      <c r="E7" s="2" t="s">
        <v>169</v>
      </c>
      <c r="F7" s="2" t="s">
        <v>170</v>
      </c>
    </row>
    <row r="8" spans="1:6" ht="28.5">
      <c r="A8" s="2" t="s">
        <v>171</v>
      </c>
      <c r="B8" s="2" t="s">
        <v>172</v>
      </c>
      <c r="C8" s="2" t="s">
        <v>173</v>
      </c>
      <c r="D8" s="2" t="s">
        <v>174</v>
      </c>
      <c r="E8" s="2" t="s">
        <v>175</v>
      </c>
      <c r="F8" s="2" t="s">
        <v>176</v>
      </c>
    </row>
    <row r="9" spans="1:6">
      <c r="A9" s="2" t="s">
        <v>177</v>
      </c>
      <c r="B9" s="2" t="s">
        <v>178</v>
      </c>
      <c r="C9" s="2" t="s">
        <v>179</v>
      </c>
      <c r="D9" s="2" t="s">
        <v>180</v>
      </c>
      <c r="E9" s="2" t="s">
        <v>181</v>
      </c>
      <c r="F9" s="2" t="s">
        <v>182</v>
      </c>
    </row>
    <row r="10" spans="1:6" ht="28.5">
      <c r="A10" s="2" t="s">
        <v>183</v>
      </c>
      <c r="B10" s="2" t="s">
        <v>184</v>
      </c>
      <c r="C10" s="2" t="s">
        <v>185</v>
      </c>
      <c r="D10" s="2" t="s">
        <v>186</v>
      </c>
      <c r="E10" s="2" t="s">
        <v>187</v>
      </c>
      <c r="F10" s="2" t="s">
        <v>188</v>
      </c>
    </row>
    <row r="11" spans="1:6" ht="28.5">
      <c r="A11" s="2" t="s">
        <v>189</v>
      </c>
      <c r="B11" s="2" t="s">
        <v>190</v>
      </c>
      <c r="C11" s="2" t="s">
        <v>191</v>
      </c>
      <c r="D11" s="2" t="s">
        <v>192</v>
      </c>
      <c r="E11" s="2" t="s">
        <v>193</v>
      </c>
      <c r="F11" s="2" t="s">
        <v>194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sqref="A1:F1"/>
    </sheetView>
  </sheetViews>
  <sheetFormatPr defaultRowHeight="14.25"/>
  <cols>
    <col min="1" max="1" width="28" customWidth="1"/>
    <col min="2" max="2" width="80" customWidth="1"/>
  </cols>
  <sheetData>
    <row r="1" spans="1:6" ht="30" customHeight="1">
      <c r="A1" s="12" t="s">
        <v>195</v>
      </c>
      <c r="B1" s="12"/>
      <c r="C1" s="12"/>
      <c r="D1" s="12"/>
      <c r="E1" s="12"/>
      <c r="F1" s="12"/>
    </row>
    <row r="3" spans="1:6" ht="15">
      <c r="A3" s="3" t="s">
        <v>196</v>
      </c>
      <c r="B3" s="3" t="s">
        <v>197</v>
      </c>
    </row>
    <row r="4" spans="1:6" ht="15">
      <c r="A4" s="1" t="s">
        <v>198</v>
      </c>
      <c r="B4" s="2" t="s">
        <v>199</v>
      </c>
    </row>
    <row r="5" spans="1:6" ht="29.25">
      <c r="A5" s="1" t="s">
        <v>2</v>
      </c>
      <c r="B5" s="2" t="s">
        <v>200</v>
      </c>
    </row>
    <row r="6" spans="1:6" ht="15">
      <c r="A6" s="1" t="s">
        <v>4</v>
      </c>
      <c r="B6" s="2" t="s">
        <v>201</v>
      </c>
    </row>
    <row r="7" spans="1:6" ht="29.25">
      <c r="A7" s="1" t="s">
        <v>202</v>
      </c>
      <c r="B7" s="2" t="s">
        <v>203</v>
      </c>
    </row>
    <row r="8" spans="1:6" ht="29.25">
      <c r="A8" s="1" t="s">
        <v>204</v>
      </c>
      <c r="B8" s="2" t="s">
        <v>205</v>
      </c>
    </row>
    <row r="9" spans="1:6" ht="29.25">
      <c r="A9" s="1" t="s">
        <v>206</v>
      </c>
      <c r="B9" s="2" t="s">
        <v>207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LEIA-ME</vt:lpstr>
      <vt:lpstr>Listas</vt:lpstr>
      <vt:lpstr>Base Administrativa</vt:lpstr>
      <vt:lpstr>Dashboard</vt:lpstr>
      <vt:lpstr>Power BI - Guia</vt:lpstr>
      <vt:lpstr>Portfólio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cpd.07</cp:lastModifiedBy>
  <dcterms:modified xsi:type="dcterms:W3CDTF">2026-09-24T18:29:55Z</dcterms:modified>
</cp:coreProperties>
</file>